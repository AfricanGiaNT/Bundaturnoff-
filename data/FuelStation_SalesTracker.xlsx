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Input" sheetId="1" r:id="rId1"/>
    <sheet name="StaffRegistry" sheetId="2" r:id="rId2"/>
    <sheet name="IndividualSummary" sheetId="3" r:id="rId3"/>
    <sheet name="ShiftSummary" sheetId="4" r:id="rId4"/>
    <sheet name="WeeklySummary" sheetId="5" r:id="rId5"/>
    <sheet name="MonthlySummary" sheetId="6" r:id="rId6"/>
    <sheet name="DashboardData" sheetId="7" r:id="rId7"/>
    <sheet name="HowToUs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#,##0.00"/>
    <numFmt numFmtId="166" formatCode="0.0"/>
    <numFmt numFmtId="167" formatCode="General"/>
    <numFmt numFmtId="168" formatCode="0.0%"/>
    <numFmt numFmtId="169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workbookViewId="0" rightToLeft="0"/>
  </sheetViews>
  <sheetData>
    <row r="1">
      <c r="A1" s="1" t="str">
        <v>Week_Start</v>
      </c>
      <c r="B1" s="1" t="str">
        <v>Week_End</v>
      </c>
      <c r="C1" s="1" t="str">
        <v>Shift</v>
      </c>
      <c r="D1" s="1" t="str">
        <v>Attendant_ID</v>
      </c>
      <c r="E1" s="1" t="str">
        <v>Attendant_Name</v>
      </c>
      <c r="F1" s="1" t="str">
        <v>Role</v>
      </c>
      <c r="G1" s="1" t="str">
        <v>Fuel_Sales_Litres</v>
      </c>
      <c r="H1" s="1" t="str">
        <v>Lub_Qty</v>
      </c>
      <c r="I1" s="1" t="str">
        <v>Notes</v>
      </c>
    </row>
    <row r="2">
      <c r="A2" s="1" t="str">
        <v>2026-03-30</v>
      </c>
      <c r="B2" s="1" t="str">
        <v>2026-04-05</v>
      </c>
      <c r="C2" s="1" t="str">
        <v>A</v>
      </c>
      <c r="D2" s="1" t="str">
        <v>A01</v>
      </c>
      <c r="E2" s="1" t="str">
        <v>Chikondi Chirwa</v>
      </c>
      <c r="F2" s="1" t="str">
        <v>Leader</v>
      </c>
      <c r="G2" s="1">
        <v>6267.74</v>
      </c>
      <c r="H2" s="1">
        <v>0</v>
      </c>
      <c r="I2" s="1" t="str">
        <v/>
      </c>
    </row>
    <row r="3">
      <c r="A3" s="1" t="str">
        <v>2026-03-30</v>
      </c>
      <c r="B3" s="1" t="str">
        <v>2026-04-05</v>
      </c>
      <c r="C3" s="1" t="str">
        <v>A</v>
      </c>
      <c r="D3" s="1" t="str">
        <v>A02</v>
      </c>
      <c r="E3" s="1" t="str">
        <v>Philip Kaukonde</v>
      </c>
      <c r="F3" s="1" t="str">
        <v>Attendant</v>
      </c>
      <c r="G3" s="1">
        <v>1527.9</v>
      </c>
      <c r="H3" s="1">
        <v>105</v>
      </c>
      <c r="I3" s="1" t="str">
        <v/>
      </c>
    </row>
    <row r="4">
      <c r="A4" s="1" t="str">
        <v>2026-03-30</v>
      </c>
      <c r="B4" s="1" t="str">
        <v>2026-04-05</v>
      </c>
      <c r="C4" s="1" t="str">
        <v>A</v>
      </c>
      <c r="D4" s="1" t="str">
        <v>A03</v>
      </c>
      <c r="E4" s="1" t="str">
        <v>Jackson Issah</v>
      </c>
      <c r="F4" s="1" t="str">
        <v>Attendant</v>
      </c>
      <c r="G4" s="1">
        <v>2745.44</v>
      </c>
      <c r="H4" s="1">
        <v>11</v>
      </c>
      <c r="I4" s="1" t="str">
        <v/>
      </c>
    </row>
    <row r="5">
      <c r="A5" s="1" t="str">
        <v>2026-03-30</v>
      </c>
      <c r="B5" s="1" t="str">
        <v>2026-04-05</v>
      </c>
      <c r="C5" s="1" t="str">
        <v>A</v>
      </c>
      <c r="D5" s="1" t="str">
        <v>A04</v>
      </c>
      <c r="E5" s="1" t="str">
        <v>Tiyamike Mwale</v>
      </c>
      <c r="F5" s="1" t="str">
        <v>Attendant</v>
      </c>
      <c r="G5" s="1">
        <v>3511.55</v>
      </c>
      <c r="H5" s="1">
        <v>6.5</v>
      </c>
      <c r="I5" s="1" t="str">
        <v/>
      </c>
    </row>
    <row r="6">
      <c r="A6" s="1" t="str">
        <v>2026-03-30</v>
      </c>
      <c r="B6" s="1" t="str">
        <v>2026-04-05</v>
      </c>
      <c r="C6" s="1" t="str">
        <v>A</v>
      </c>
      <c r="D6" s="1" t="str">
        <v>A05</v>
      </c>
      <c r="E6" s="1" t="str">
        <v>Cyrus Nyirenda</v>
      </c>
      <c r="F6" s="1" t="str">
        <v>Attendant</v>
      </c>
      <c r="G6" s="1">
        <v>4083.01</v>
      </c>
      <c r="H6" s="1">
        <v>0</v>
      </c>
      <c r="I6" s="1" t="str">
        <v/>
      </c>
    </row>
    <row r="7">
      <c r="A7" s="1" t="str">
        <v>2026-03-30</v>
      </c>
      <c r="B7" s="1" t="str">
        <v>2026-04-05</v>
      </c>
      <c r="C7" s="1" t="str">
        <v>B</v>
      </c>
      <c r="D7" s="1" t="str">
        <v>B01</v>
      </c>
      <c r="E7" s="1" t="str">
        <v>Moffat Nkhoma</v>
      </c>
      <c r="F7" s="1" t="str">
        <v>Leader</v>
      </c>
      <c r="G7" s="1">
        <v>1177.23</v>
      </c>
      <c r="H7" s="1">
        <v>11.5</v>
      </c>
      <c r="I7" s="1" t="str">
        <v/>
      </c>
    </row>
    <row r="8">
      <c r="A8" s="1" t="str">
        <v>2026-03-30</v>
      </c>
      <c r="B8" s="1" t="str">
        <v>2026-04-05</v>
      </c>
      <c r="C8" s="1" t="str">
        <v>B</v>
      </c>
      <c r="D8" s="1" t="str">
        <v>B02</v>
      </c>
      <c r="E8" s="1" t="str">
        <v>Emmanuel Chinseu</v>
      </c>
      <c r="F8" s="1" t="str">
        <v>Attendant</v>
      </c>
      <c r="G8" s="1">
        <v>6662.63</v>
      </c>
      <c r="H8" s="1">
        <v>0</v>
      </c>
      <c r="I8" s="1" t="str">
        <v/>
      </c>
    </row>
    <row r="9">
      <c r="A9" s="1" t="str">
        <v>2026-03-30</v>
      </c>
      <c r="B9" s="1" t="str">
        <v>2026-04-05</v>
      </c>
      <c r="C9" s="1" t="str">
        <v>B</v>
      </c>
      <c r="D9" s="1" t="str">
        <v>B03</v>
      </c>
      <c r="E9" s="1" t="str">
        <v>Emmanuel Makoko</v>
      </c>
      <c r="F9" s="1" t="str">
        <v>Attendant</v>
      </c>
      <c r="G9" s="1">
        <v>2440.4</v>
      </c>
      <c r="H9" s="1">
        <v>0</v>
      </c>
      <c r="I9" s="1" t="str">
        <v/>
      </c>
    </row>
    <row r="10">
      <c r="A10" s="1" t="str">
        <v>2026-03-30</v>
      </c>
      <c r="B10" s="1" t="str">
        <v>2026-04-05</v>
      </c>
      <c r="C10" s="1" t="str">
        <v>B</v>
      </c>
      <c r="D10" s="1" t="str">
        <v>B04</v>
      </c>
      <c r="E10" s="1" t="str">
        <v>Flora Phiri</v>
      </c>
      <c r="F10" s="1" t="str">
        <v>Attendant</v>
      </c>
      <c r="G10" s="1">
        <v>2998.99</v>
      </c>
      <c r="H10" s="1">
        <v>5.1</v>
      </c>
      <c r="I10" s="1" t="str">
        <v/>
      </c>
    </row>
    <row r="11">
      <c r="A11" s="1" t="str">
        <v>2026-03-30</v>
      </c>
      <c r="B11" s="1" t="str">
        <v>2026-04-05</v>
      </c>
      <c r="C11" s="1" t="str">
        <v>B</v>
      </c>
      <c r="D11" s="1" t="str">
        <v>B05</v>
      </c>
      <c r="E11" s="1" t="str">
        <v>Madalo Mchenga</v>
      </c>
      <c r="F11" s="1" t="str">
        <v>Attendant</v>
      </c>
      <c r="G11" s="1">
        <v>2406.75</v>
      </c>
      <c r="H11" s="1">
        <v>0</v>
      </c>
      <c r="I11" s="1" t="str">
        <v/>
      </c>
    </row>
    <row r="12">
      <c r="A12" s="1" t="str">
        <v>2026-03-30</v>
      </c>
      <c r="B12" s="1" t="str">
        <v>2026-04-05</v>
      </c>
      <c r="C12" s="1" t="str">
        <v>C</v>
      </c>
      <c r="D12" s="1" t="str">
        <v>C01</v>
      </c>
      <c r="E12" s="1" t="str">
        <v>Pilirani Kulinj</v>
      </c>
      <c r="F12" s="1" t="str">
        <v>Leader</v>
      </c>
      <c r="G12" s="1">
        <v>3261.42</v>
      </c>
      <c r="H12" s="1">
        <v>0</v>
      </c>
      <c r="I12" s="1" t="str">
        <v/>
      </c>
    </row>
    <row r="13">
      <c r="A13" s="1" t="str">
        <v>2026-03-30</v>
      </c>
      <c r="B13" s="1" t="str">
        <v>2026-04-05</v>
      </c>
      <c r="C13" s="1" t="str">
        <v>C</v>
      </c>
      <c r="D13" s="1" t="str">
        <v>C02</v>
      </c>
      <c r="E13" s="1" t="str">
        <v>Shadreck Bamusi</v>
      </c>
      <c r="F13" s="1" t="str">
        <v>Attendant</v>
      </c>
      <c r="G13" s="1">
        <v>4580.62</v>
      </c>
      <c r="H13" s="1">
        <v>0</v>
      </c>
      <c r="I13" s="1" t="str">
        <v/>
      </c>
    </row>
    <row r="14">
      <c r="A14" s="1" t="str">
        <v>2026-03-30</v>
      </c>
      <c r="B14" s="1" t="str">
        <v>2026-04-05</v>
      </c>
      <c r="C14" s="1" t="str">
        <v>C</v>
      </c>
      <c r="D14" s="1" t="str">
        <v>C03</v>
      </c>
      <c r="E14" s="1" t="str">
        <v>Mike Siyasiya</v>
      </c>
      <c r="F14" s="1" t="str">
        <v>Attendant</v>
      </c>
      <c r="G14" s="1">
        <v>4421.17</v>
      </c>
      <c r="H14" s="1">
        <v>0</v>
      </c>
      <c r="I14" s="1" t="str">
        <v/>
      </c>
    </row>
    <row r="15">
      <c r="A15" s="1" t="str">
        <v>2026-03-30</v>
      </c>
      <c r="B15" s="1" t="str">
        <v>2026-04-05</v>
      </c>
      <c r="C15" s="1" t="str">
        <v>C</v>
      </c>
      <c r="D15" s="1" t="str">
        <v>C04</v>
      </c>
      <c r="E15" s="1" t="str">
        <v>Austin Chakanda</v>
      </c>
      <c r="F15" s="1" t="str">
        <v>Attendant</v>
      </c>
      <c r="G15" s="1">
        <v>3628.87</v>
      </c>
      <c r="H15" s="1">
        <v>0</v>
      </c>
      <c r="I15" s="1" t="str">
        <v/>
      </c>
    </row>
    <row r="16">
      <c r="A16" s="1" t="str">
        <v>2026-03-30</v>
      </c>
      <c r="B16" s="1" t="str">
        <v>2026-04-05</v>
      </c>
      <c r="C16" s="1" t="str">
        <v>C</v>
      </c>
      <c r="D16" s="1" t="str">
        <v>C05</v>
      </c>
      <c r="E16" s="1" t="str">
        <v>Watson Gondwe</v>
      </c>
      <c r="F16" s="1" t="str">
        <v>Attendant</v>
      </c>
      <c r="G16" s="1">
        <v>0</v>
      </c>
      <c r="H16" s="1">
        <v>0</v>
      </c>
      <c r="I16" s="1" t="str">
        <v>New</v>
      </c>
    </row>
    <row r="17">
      <c r="A17" s="1" t="str">
        <v>2026-04-06</v>
      </c>
      <c r="B17" s="1" t="str">
        <v>2026-04-12</v>
      </c>
      <c r="C17" s="1" t="str">
        <v>A</v>
      </c>
      <c r="D17" s="1" t="str">
        <v>A01</v>
      </c>
      <c r="E17" s="1" t="str">
        <v>Chikondi Chirwa</v>
      </c>
      <c r="F17" s="1" t="str">
        <v>Leader</v>
      </c>
      <c r="G17" s="1">
        <v>1913.78</v>
      </c>
      <c r="H17" s="1">
        <v>3</v>
      </c>
      <c r="I17" s="1" t="str">
        <v/>
      </c>
    </row>
    <row r="18">
      <c r="A18" s="1" t="str">
        <v>2026-04-06</v>
      </c>
      <c r="B18" s="1" t="str">
        <v>2026-04-12</v>
      </c>
      <c r="C18" s="1" t="str">
        <v>A</v>
      </c>
      <c r="D18" s="1" t="str">
        <v>A02</v>
      </c>
      <c r="E18" s="1" t="str">
        <v>Philip Kaukonde</v>
      </c>
      <c r="F18" s="1" t="str">
        <v>Attendant</v>
      </c>
      <c r="G18" s="1">
        <v>1125.3</v>
      </c>
      <c r="H18" s="1">
        <v>0</v>
      </c>
      <c r="I18" s="1" t="str">
        <v/>
      </c>
    </row>
    <row r="19">
      <c r="A19" s="1" t="str">
        <v>2026-04-06</v>
      </c>
      <c r="B19" s="1" t="str">
        <v>2026-04-12</v>
      </c>
      <c r="C19" s="1" t="str">
        <v>A</v>
      </c>
      <c r="D19" s="1" t="str">
        <v>A03</v>
      </c>
      <c r="E19" s="1" t="str">
        <v>Jackson Issah</v>
      </c>
      <c r="F19" s="1" t="str">
        <v>Attendant</v>
      </c>
      <c r="G19" s="1">
        <v>2824.3</v>
      </c>
      <c r="H19" s="1">
        <v>3</v>
      </c>
      <c r="I19" s="1" t="str">
        <v/>
      </c>
    </row>
    <row r="20">
      <c r="A20" s="1" t="str">
        <v>2026-04-06</v>
      </c>
      <c r="B20" s="1" t="str">
        <v>2026-04-12</v>
      </c>
      <c r="C20" s="1" t="str">
        <v>A</v>
      </c>
      <c r="D20" s="1" t="str">
        <v>A04</v>
      </c>
      <c r="E20" s="1" t="str">
        <v>Tiyamike Mwale</v>
      </c>
      <c r="F20" s="1" t="str">
        <v>Attendant</v>
      </c>
      <c r="G20" s="1">
        <v>3316.12</v>
      </c>
      <c r="H20" s="1">
        <v>1</v>
      </c>
      <c r="I20" s="1" t="str">
        <v/>
      </c>
    </row>
    <row r="21">
      <c r="A21" s="1" t="str">
        <v>2026-04-06</v>
      </c>
      <c r="B21" s="1" t="str">
        <v>2026-04-12</v>
      </c>
      <c r="C21" s="1" t="str">
        <v>A</v>
      </c>
      <c r="D21" s="1" t="str">
        <v>A05</v>
      </c>
      <c r="E21" s="1" t="str">
        <v>Cyrus Nyirenda</v>
      </c>
      <c r="F21" s="1" t="str">
        <v>Attendant</v>
      </c>
      <c r="G21" s="1">
        <v>2804.35</v>
      </c>
      <c r="H21" s="1">
        <v>0</v>
      </c>
      <c r="I21" s="1" t="str">
        <v/>
      </c>
    </row>
    <row r="22">
      <c r="A22" s="1" t="str">
        <v>2026-04-06</v>
      </c>
      <c r="B22" s="1" t="str">
        <v>2026-04-12</v>
      </c>
      <c r="C22" s="1" t="str">
        <v>B</v>
      </c>
      <c r="D22" s="1" t="str">
        <v>B01</v>
      </c>
      <c r="E22" s="1" t="str">
        <v>Moffat Nkhoma</v>
      </c>
      <c r="F22" s="1" t="str">
        <v>Leader</v>
      </c>
      <c r="G22" s="1">
        <v>2884.35</v>
      </c>
      <c r="H22" s="1">
        <v>0</v>
      </c>
      <c r="I22" s="1" t="str">
        <v/>
      </c>
    </row>
    <row r="23">
      <c r="A23" s="1" t="str">
        <v>2026-04-06</v>
      </c>
      <c r="B23" s="1" t="str">
        <v>2026-04-12</v>
      </c>
      <c r="C23" s="1" t="str">
        <v>B</v>
      </c>
      <c r="D23" s="1" t="str">
        <v>B02</v>
      </c>
      <c r="E23" s="1" t="str">
        <v>Emmanuel Chinseu</v>
      </c>
      <c r="F23" s="1" t="str">
        <v>Attendant</v>
      </c>
      <c r="G23" s="1">
        <v>2287.73</v>
      </c>
      <c r="H23" s="1">
        <v>0</v>
      </c>
      <c r="I23" s="1" t="str">
        <v/>
      </c>
    </row>
    <row r="24">
      <c r="A24" s="1" t="str">
        <v>2026-04-06</v>
      </c>
      <c r="B24" s="1" t="str">
        <v>2026-04-12</v>
      </c>
      <c r="C24" s="1" t="str">
        <v>B</v>
      </c>
      <c r="D24" s="1" t="str">
        <v>B03</v>
      </c>
      <c r="E24" s="1" t="str">
        <v>Emmanuel Makoko</v>
      </c>
      <c r="F24" s="1" t="str">
        <v>Attendant</v>
      </c>
      <c r="G24" s="1">
        <v>5316.27</v>
      </c>
      <c r="H24" s="1">
        <v>0</v>
      </c>
      <c r="I24" s="1" t="str">
        <v/>
      </c>
    </row>
    <row r="25">
      <c r="A25" s="1" t="str">
        <v>2026-04-06</v>
      </c>
      <c r="B25" s="1" t="str">
        <v>2026-04-12</v>
      </c>
      <c r="C25" s="1" t="str">
        <v>B</v>
      </c>
      <c r="D25" s="1" t="str">
        <v>B04</v>
      </c>
      <c r="E25" s="1" t="str">
        <v>Flora Phiri</v>
      </c>
      <c r="F25" s="1" t="str">
        <v>Attendant</v>
      </c>
      <c r="G25" s="1">
        <v>2050.85</v>
      </c>
      <c r="H25" s="1">
        <v>0</v>
      </c>
      <c r="I25" s="1" t="str">
        <v/>
      </c>
    </row>
    <row r="26">
      <c r="A26" s="1" t="str">
        <v>2026-04-06</v>
      </c>
      <c r="B26" s="1" t="str">
        <v>2026-04-12</v>
      </c>
      <c r="C26" s="1" t="str">
        <v>B</v>
      </c>
      <c r="D26" s="1" t="str">
        <v>B05</v>
      </c>
      <c r="E26" s="1" t="str">
        <v>Madalo Mchenga</v>
      </c>
      <c r="F26" s="1" t="str">
        <v>Attendant</v>
      </c>
      <c r="G26" s="1">
        <v>2893.83</v>
      </c>
      <c r="H26" s="1">
        <v>0</v>
      </c>
      <c r="I26" s="1" t="str">
        <v/>
      </c>
    </row>
    <row r="27">
      <c r="A27" s="1" t="str">
        <v>2026-04-06</v>
      </c>
      <c r="B27" s="1" t="str">
        <v>2026-04-12</v>
      </c>
      <c r="C27" s="1" t="str">
        <v>C</v>
      </c>
      <c r="D27" s="1" t="str">
        <v>C01</v>
      </c>
      <c r="E27" s="1" t="str">
        <v>Pilirani Kulinj</v>
      </c>
      <c r="F27" s="1" t="str">
        <v>Leader</v>
      </c>
      <c r="G27" s="1">
        <v>3241.53</v>
      </c>
      <c r="H27" s="1">
        <v>0</v>
      </c>
      <c r="I27" s="1" t="str">
        <v/>
      </c>
    </row>
    <row r="28">
      <c r="A28" s="1" t="str">
        <v>2026-04-06</v>
      </c>
      <c r="B28" s="1" t="str">
        <v>2026-04-12</v>
      </c>
      <c r="C28" s="1" t="str">
        <v>C</v>
      </c>
      <c r="D28" s="1" t="str">
        <v>C02</v>
      </c>
      <c r="E28" s="1" t="str">
        <v>Shadreck Bamusi</v>
      </c>
      <c r="F28" s="1" t="str">
        <v>Attendant</v>
      </c>
      <c r="G28" s="1">
        <v>3919.42</v>
      </c>
      <c r="H28" s="1">
        <v>0</v>
      </c>
      <c r="I28" s="1" t="str">
        <v/>
      </c>
    </row>
    <row r="29">
      <c r="A29" s="1" t="str">
        <v>2026-04-06</v>
      </c>
      <c r="B29" s="1" t="str">
        <v>2026-04-12</v>
      </c>
      <c r="C29" s="1" t="str">
        <v>C</v>
      </c>
      <c r="D29" s="1" t="str">
        <v>C03</v>
      </c>
      <c r="E29" s="1" t="str">
        <v>Mike Siyasiya</v>
      </c>
      <c r="F29" s="1" t="str">
        <v>Attendant</v>
      </c>
      <c r="G29" s="1">
        <v>3494.88</v>
      </c>
      <c r="H29" s="1">
        <v>0</v>
      </c>
      <c r="I29" s="1" t="str">
        <v/>
      </c>
    </row>
    <row r="30">
      <c r="A30" s="1" t="str">
        <v>2026-04-06</v>
      </c>
      <c r="B30" s="1" t="str">
        <v>2026-04-12</v>
      </c>
      <c r="C30" s="1" t="str">
        <v>C</v>
      </c>
      <c r="D30" s="1" t="str">
        <v>C04</v>
      </c>
      <c r="E30" s="1" t="str">
        <v>Austin Chakanda</v>
      </c>
      <c r="F30" s="1" t="str">
        <v>Attendant</v>
      </c>
      <c r="G30" s="1">
        <v>4794.7</v>
      </c>
      <c r="H30" s="1">
        <v>0</v>
      </c>
      <c r="I30" s="1" t="str">
        <v/>
      </c>
    </row>
    <row r="31">
      <c r="A31" s="1" t="str">
        <v>2026-04-06</v>
      </c>
      <c r="B31" s="1" t="str">
        <v>2026-04-12</v>
      </c>
      <c r="C31" s="1" t="str">
        <v>C</v>
      </c>
      <c r="D31" s="1" t="str">
        <v>C05</v>
      </c>
      <c r="E31" s="1" t="str">
        <v>Watson Gondwe</v>
      </c>
      <c r="F31" s="1" t="str">
        <v>Attendant</v>
      </c>
      <c r="G31" s="1">
        <v>0</v>
      </c>
      <c r="H31" s="1">
        <v>0</v>
      </c>
      <c r="I31" s="1" t="str">
        <v>New</v>
      </c>
    </row>
    <row r="32">
      <c r="A32" s="1" t="str">
        <v>2026-04-13</v>
      </c>
      <c r="B32" s="1" t="str">
        <v>2026-04-19</v>
      </c>
      <c r="C32" s="1" t="str">
        <v>A</v>
      </c>
      <c r="D32" s="1" t="str">
        <v>A01</v>
      </c>
      <c r="E32" s="1" t="str">
        <v>Chikondi Chirwa</v>
      </c>
      <c r="F32" s="1" t="str">
        <v>Leader</v>
      </c>
      <c r="G32" s="1">
        <v>0</v>
      </c>
      <c r="H32" s="1">
        <v>0</v>
      </c>
      <c r="I32" s="1" t="str">
        <v>dry</v>
      </c>
    </row>
    <row r="33">
      <c r="A33" s="1" t="str">
        <v>2026-04-13</v>
      </c>
      <c r="B33" s="1" t="str">
        <v>2026-04-19</v>
      </c>
      <c r="C33" s="1" t="str">
        <v>A</v>
      </c>
      <c r="D33" s="1" t="str">
        <v>A02</v>
      </c>
      <c r="E33" s="1" t="str">
        <v>Philip Kaukonde</v>
      </c>
      <c r="F33" s="1" t="str">
        <v>Attendant</v>
      </c>
      <c r="G33" s="1">
        <v>0</v>
      </c>
      <c r="H33" s="1">
        <v>0</v>
      </c>
      <c r="I33" s="1" t="str">
        <v/>
      </c>
    </row>
    <row r="34">
      <c r="A34" s="1" t="str">
        <v>2026-04-13</v>
      </c>
      <c r="B34" s="1" t="str">
        <v>2026-04-19</v>
      </c>
      <c r="C34" s="1" t="str">
        <v>A</v>
      </c>
      <c r="D34" s="1" t="str">
        <v>A03</v>
      </c>
      <c r="E34" s="1" t="str">
        <v>Jackson Issah</v>
      </c>
      <c r="F34" s="1" t="str">
        <v>Attendant</v>
      </c>
      <c r="G34" s="1">
        <v>0</v>
      </c>
      <c r="H34" s="1">
        <v>0</v>
      </c>
      <c r="I34" s="1" t="str">
        <v/>
      </c>
    </row>
    <row r="35">
      <c r="A35" s="1" t="str">
        <v>2026-04-13</v>
      </c>
      <c r="B35" s="1" t="str">
        <v>2026-04-19</v>
      </c>
      <c r="C35" s="1" t="str">
        <v>A</v>
      </c>
      <c r="D35" s="1" t="str">
        <v>A04</v>
      </c>
      <c r="E35" s="1" t="str">
        <v>Tiyamike Mwale</v>
      </c>
      <c r="F35" s="1" t="str">
        <v>Attendant</v>
      </c>
      <c r="G35" s="1">
        <v>0</v>
      </c>
      <c r="H35" s="1">
        <v>0</v>
      </c>
      <c r="I35" s="1" t="str">
        <v/>
      </c>
    </row>
    <row r="36">
      <c r="A36" s="1" t="str">
        <v>2026-04-13</v>
      </c>
      <c r="B36" s="1" t="str">
        <v>2026-04-19</v>
      </c>
      <c r="C36" s="1" t="str">
        <v>A</v>
      </c>
      <c r="D36" s="1" t="str">
        <v>A05</v>
      </c>
      <c r="E36" s="1" t="str">
        <v>Cyrus Nyirenda</v>
      </c>
      <c r="F36" s="1" t="str">
        <v>Attendant</v>
      </c>
      <c r="G36" s="1">
        <v>0</v>
      </c>
      <c r="H36" s="1">
        <v>0</v>
      </c>
      <c r="I36" s="1" t="str">
        <v/>
      </c>
    </row>
    <row r="37">
      <c r="A37" s="1" t="str">
        <v>2026-04-13</v>
      </c>
      <c r="B37" s="1" t="str">
        <v>2026-04-19</v>
      </c>
      <c r="C37" s="1" t="str">
        <v>B</v>
      </c>
      <c r="D37" s="1" t="str">
        <v>B01</v>
      </c>
      <c r="E37" s="1" t="str">
        <v>Moffat Nkhoma</v>
      </c>
      <c r="F37" s="1" t="str">
        <v>Leader</v>
      </c>
      <c r="G37" s="1">
        <v>2428.1</v>
      </c>
      <c r="H37" s="1">
        <v>0</v>
      </c>
      <c r="I37" s="1" t="str">
        <v>2428.2</v>
      </c>
    </row>
    <row r="38">
      <c r="A38" s="1" t="str">
        <v>2026-04-13</v>
      </c>
      <c r="B38" s="1" t="str">
        <v>2026-04-19</v>
      </c>
      <c r="C38" s="1" t="str">
        <v>B</v>
      </c>
      <c r="D38" s="1" t="str">
        <v>B02</v>
      </c>
      <c r="E38" s="1" t="str">
        <v>Emmanuel Chinseu</v>
      </c>
      <c r="F38" s="1" t="str">
        <v>Attendant</v>
      </c>
      <c r="G38" s="1">
        <v>2139.1</v>
      </c>
      <c r="H38" s="1">
        <v>0</v>
      </c>
      <c r="I38" s="1" t="str">
        <v>2139.1</v>
      </c>
    </row>
    <row r="39">
      <c r="A39" s="1" t="str">
        <v>2026-04-13</v>
      </c>
      <c r="B39" s="1" t="str">
        <v>2026-04-19</v>
      </c>
      <c r="C39" s="1" t="str">
        <v>B</v>
      </c>
      <c r="D39" s="1" t="str">
        <v>B03</v>
      </c>
      <c r="E39" s="1" t="str">
        <v>Emmanuel Makoko</v>
      </c>
      <c r="F39" s="1" t="str">
        <v>Attendant</v>
      </c>
      <c r="G39" s="1">
        <v>2583.61</v>
      </c>
      <c r="H39" s="1">
        <v>0</v>
      </c>
      <c r="I39" s="1" t="str">
        <v>2583.61</v>
      </c>
    </row>
    <row r="40">
      <c r="A40" s="1" t="str">
        <v>2026-04-13</v>
      </c>
      <c r="B40" s="1" t="str">
        <v>2026-04-19</v>
      </c>
      <c r="C40" s="1" t="str">
        <v>B</v>
      </c>
      <c r="D40" s="1" t="str">
        <v>B04</v>
      </c>
      <c r="E40" s="1" t="str">
        <v>Flora Phiri</v>
      </c>
      <c r="F40" s="1" t="str">
        <v>Attendant</v>
      </c>
      <c r="G40" s="1">
        <v>4530.97</v>
      </c>
      <c r="H40" s="1">
        <v>0</v>
      </c>
      <c r="I40" s="1" t="str">
        <v/>
      </c>
    </row>
    <row r="41">
      <c r="A41" s="1" t="str">
        <v>2026-04-13</v>
      </c>
      <c r="B41" s="1" t="str">
        <v>2026-04-19</v>
      </c>
      <c r="C41" s="1" t="str">
        <v>B</v>
      </c>
      <c r="D41" s="1" t="str">
        <v>B05</v>
      </c>
      <c r="E41" s="1" t="str">
        <v>Madalo Mchenga</v>
      </c>
      <c r="F41" s="1" t="str">
        <v>Attendant</v>
      </c>
      <c r="G41" s="1">
        <v>2157.4</v>
      </c>
      <c r="H41" s="1">
        <v>0</v>
      </c>
      <c r="I41" s="1" t="str">
        <v/>
      </c>
    </row>
    <row r="42">
      <c r="A42" s="1" t="str">
        <v>2026-04-13</v>
      </c>
      <c r="B42" s="1" t="str">
        <v>2026-04-19</v>
      </c>
      <c r="C42" s="1" t="str">
        <v>C</v>
      </c>
      <c r="D42" s="1" t="str">
        <v>C01</v>
      </c>
      <c r="E42" s="1" t="str">
        <v>Pilirani Kulinj</v>
      </c>
      <c r="F42" s="1" t="str">
        <v>Leader</v>
      </c>
      <c r="G42" s="1">
        <v>3002.21</v>
      </c>
      <c r="H42" s="1">
        <v>0</v>
      </c>
      <c r="I42" s="1" t="str">
        <v/>
      </c>
    </row>
    <row r="43">
      <c r="A43" s="1" t="str">
        <v>2026-04-13</v>
      </c>
      <c r="B43" s="1" t="str">
        <v>2026-04-19</v>
      </c>
      <c r="C43" s="1" t="str">
        <v>C</v>
      </c>
      <c r="D43" s="1" t="str">
        <v>C02</v>
      </c>
      <c r="E43" s="1" t="str">
        <v>Shadreck Bamusi</v>
      </c>
      <c r="F43" s="1" t="str">
        <v>Attendant</v>
      </c>
      <c r="G43" s="1">
        <v>4548.09</v>
      </c>
      <c r="H43" s="1">
        <v>0</v>
      </c>
      <c r="I43" s="1" t="str">
        <v/>
      </c>
    </row>
    <row r="44">
      <c r="A44" s="1" t="str">
        <v>2026-04-13</v>
      </c>
      <c r="B44" s="1" t="str">
        <v>2026-04-19</v>
      </c>
      <c r="C44" s="1" t="str">
        <v>C</v>
      </c>
      <c r="D44" s="1" t="str">
        <v>C03</v>
      </c>
      <c r="E44" s="1" t="str">
        <v>Mike Siyasiya</v>
      </c>
      <c r="F44" s="1" t="str">
        <v>Attendant</v>
      </c>
      <c r="G44" s="1">
        <v>0</v>
      </c>
      <c r="H44" s="1">
        <v>0</v>
      </c>
      <c r="I44" s="1" t="str">
        <v>sick</v>
      </c>
    </row>
    <row r="45">
      <c r="A45" s="1" t="str">
        <v>2026-04-13</v>
      </c>
      <c r="B45" s="1" t="str">
        <v>2026-04-19</v>
      </c>
      <c r="C45" s="1" t="str">
        <v>C</v>
      </c>
      <c r="D45" s="1" t="str">
        <v>C04</v>
      </c>
      <c r="E45" s="1" t="str">
        <v>Austin Chakanda</v>
      </c>
      <c r="F45" s="1" t="str">
        <v>Attendant</v>
      </c>
      <c r="G45" s="1">
        <v>4168.78</v>
      </c>
      <c r="H45" s="1">
        <v>0</v>
      </c>
      <c r="I45" s="1" t="str">
        <v/>
      </c>
    </row>
    <row r="46">
      <c r="A46" s="1" t="str">
        <v>2026-04-13</v>
      </c>
      <c r="B46" s="1" t="str">
        <v>2026-04-19</v>
      </c>
      <c r="C46" s="1" t="str">
        <v>C</v>
      </c>
      <c r="D46" s="1" t="str">
        <v>C05</v>
      </c>
      <c r="E46" s="1" t="str">
        <v>Watson Gondwe</v>
      </c>
      <c r="F46" s="1" t="str">
        <v>Attendant</v>
      </c>
      <c r="G46" s="1">
        <v>0</v>
      </c>
      <c r="H46" s="1">
        <v>35.5</v>
      </c>
      <c r="I46" s="1" t="str">
        <v/>
      </c>
    </row>
  </sheetData>
  <ignoredErrors>
    <ignoredError numberStoredAsText="1" sqref="A1:I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s="1" t="str">
        <v>Attendant_ID</v>
      </c>
      <c r="B1" s="1" t="str">
        <v>Attendant_Name</v>
      </c>
      <c r="C1" s="1" t="str">
        <v>Shift</v>
      </c>
      <c r="D1" s="1" t="str">
        <v>Role</v>
      </c>
      <c r="E1" s="1" t="str">
        <v>Start_Date</v>
      </c>
      <c r="F1" s="1" t="str">
        <v>Status</v>
      </c>
    </row>
    <row r="2">
      <c r="A2" s="1" t="str">
        <v>A01</v>
      </c>
      <c r="B2" s="1" t="str">
        <v>Chikondi Chirwa</v>
      </c>
      <c r="C2" s="1" t="str">
        <v>A</v>
      </c>
      <c r="D2" s="1" t="str">
        <v>Leader</v>
      </c>
      <c r="E2" s="1" t="str">
        <v>2025-01-01</v>
      </c>
      <c r="F2" s="1" t="str">
        <v>Active</v>
      </c>
    </row>
    <row r="3">
      <c r="A3" s="1" t="str">
        <v>A02</v>
      </c>
      <c r="B3" s="1" t="str">
        <v>Philip Kaukonde</v>
      </c>
      <c r="C3" s="1" t="str">
        <v>A</v>
      </c>
      <c r="D3" s="1" t="str">
        <v>Attendant</v>
      </c>
      <c r="E3" s="1" t="str">
        <v>2025-01-01</v>
      </c>
      <c r="F3" s="1" t="str">
        <v>Active</v>
      </c>
    </row>
    <row r="4">
      <c r="A4" s="1" t="str">
        <v>A03</v>
      </c>
      <c r="B4" s="1" t="str">
        <v>Jackson Issah</v>
      </c>
      <c r="C4" s="1" t="str">
        <v>A</v>
      </c>
      <c r="D4" s="1" t="str">
        <v>Attendant</v>
      </c>
      <c r="E4" s="1" t="str">
        <v>2025-01-01</v>
      </c>
      <c r="F4" s="1" t="str">
        <v>Active</v>
      </c>
    </row>
    <row r="5">
      <c r="A5" s="1" t="str">
        <v>A04</v>
      </c>
      <c r="B5" s="1" t="str">
        <v>Tiyamike Mwale</v>
      </c>
      <c r="C5" s="1" t="str">
        <v>A</v>
      </c>
      <c r="D5" s="1" t="str">
        <v>Attendant</v>
      </c>
      <c r="E5" s="1" t="str">
        <v>2025-01-01</v>
      </c>
      <c r="F5" s="1" t="str">
        <v>Active</v>
      </c>
    </row>
    <row r="6">
      <c r="A6" s="1" t="str">
        <v>A05</v>
      </c>
      <c r="B6" s="1" t="str">
        <v>Cyrus Nyirenda</v>
      </c>
      <c r="C6" s="1" t="str">
        <v>A</v>
      </c>
      <c r="D6" s="1" t="str">
        <v>Attendant</v>
      </c>
      <c r="E6" s="1" t="str">
        <v>2025-01-01</v>
      </c>
      <c r="F6" s="1" t="str">
        <v>Active</v>
      </c>
    </row>
    <row r="7">
      <c r="A7" s="1" t="str">
        <v>B01</v>
      </c>
      <c r="B7" s="1" t="str">
        <v>Moffat Nkhoma</v>
      </c>
      <c r="C7" s="1" t="str">
        <v>B</v>
      </c>
      <c r="D7" s="1" t="str">
        <v>Leader</v>
      </c>
      <c r="E7" s="1" t="str">
        <v>2025-01-01</v>
      </c>
      <c r="F7" s="1" t="str">
        <v>Active</v>
      </c>
    </row>
    <row r="8">
      <c r="A8" s="1" t="str">
        <v>B02</v>
      </c>
      <c r="B8" s="1" t="str">
        <v>Emmanuel Chinseu</v>
      </c>
      <c r="C8" s="1" t="str">
        <v>B</v>
      </c>
      <c r="D8" s="1" t="str">
        <v>Attendant</v>
      </c>
      <c r="E8" s="1" t="str">
        <v>2025-01-01</v>
      </c>
      <c r="F8" s="1" t="str">
        <v>Active</v>
      </c>
    </row>
    <row r="9">
      <c r="A9" s="1" t="str">
        <v>B03</v>
      </c>
      <c r="B9" s="1" t="str">
        <v>Emmanuel Makoko</v>
      </c>
      <c r="C9" s="1" t="str">
        <v>B</v>
      </c>
      <c r="D9" s="1" t="str">
        <v>Attendant</v>
      </c>
      <c r="E9" s="1" t="str">
        <v>2025-01-01</v>
      </c>
      <c r="F9" s="1" t="str">
        <v>Active</v>
      </c>
    </row>
    <row r="10">
      <c r="A10" s="1" t="str">
        <v>B04</v>
      </c>
      <c r="B10" s="1" t="str">
        <v>Flora Phiri</v>
      </c>
      <c r="C10" s="1" t="str">
        <v>B</v>
      </c>
      <c r="D10" s="1" t="str">
        <v>Attendant</v>
      </c>
      <c r="E10" s="1" t="str">
        <v>2025-01-01</v>
      </c>
      <c r="F10" s="1" t="str">
        <v>Active</v>
      </c>
    </row>
    <row r="11">
      <c r="A11" s="1" t="str">
        <v>B05</v>
      </c>
      <c r="B11" s="1" t="str">
        <v>Madalo Mchenga</v>
      </c>
      <c r="C11" s="1" t="str">
        <v>B</v>
      </c>
      <c r="D11" s="1" t="str">
        <v>Attendant</v>
      </c>
      <c r="E11" s="1" t="str">
        <v>2025-01-01</v>
      </c>
      <c r="F11" s="1" t="str">
        <v>Active</v>
      </c>
    </row>
    <row r="12">
      <c r="A12" s="1" t="str">
        <v>C01</v>
      </c>
      <c r="B12" s="1" t="str">
        <v>Pilirani Kulinj</v>
      </c>
      <c r="C12" s="1" t="str">
        <v>C</v>
      </c>
      <c r="D12" s="1" t="str">
        <v>Leader</v>
      </c>
      <c r="E12" s="1" t="str">
        <v>2025-01-01</v>
      </c>
      <c r="F12" s="1" t="str">
        <v>Active</v>
      </c>
    </row>
    <row r="13">
      <c r="A13" s="1" t="str">
        <v>C02</v>
      </c>
      <c r="B13" s="1" t="str">
        <v>Shadreck Bamusi</v>
      </c>
      <c r="C13" s="1" t="str">
        <v>C</v>
      </c>
      <c r="D13" s="1" t="str">
        <v>Attendant</v>
      </c>
      <c r="E13" s="1" t="str">
        <v>2025-01-01</v>
      </c>
      <c r="F13" s="1" t="str">
        <v>Active</v>
      </c>
    </row>
    <row r="14">
      <c r="A14" s="1" t="str">
        <v>C03</v>
      </c>
      <c r="B14" s="1" t="str">
        <v>Mike Siyasiya</v>
      </c>
      <c r="C14" s="1" t="str">
        <v>C</v>
      </c>
      <c r="D14" s="1" t="str">
        <v>Attendant</v>
      </c>
      <c r="E14" s="1" t="str">
        <v>2025-01-01</v>
      </c>
      <c r="F14" s="1" t="str">
        <v>Active</v>
      </c>
    </row>
    <row r="15">
      <c r="A15" s="1" t="str">
        <v>C04</v>
      </c>
      <c r="B15" s="1" t="str">
        <v>Austin Chakanda</v>
      </c>
      <c r="C15" s="1" t="str">
        <v>C</v>
      </c>
      <c r="D15" s="1" t="str">
        <v>Attendant</v>
      </c>
      <c r="E15" s="1" t="str">
        <v>2025-01-01</v>
      </c>
      <c r="F15" s="1" t="str">
        <v>Active</v>
      </c>
    </row>
    <row r="16">
      <c r="A16" s="1" t="str">
        <v>C05</v>
      </c>
      <c r="B16" s="1" t="str">
        <v>Watson Gondwe</v>
      </c>
      <c r="C16" s="1" t="str">
        <v>C</v>
      </c>
      <c r="D16" s="1" t="str">
        <v>Attendant</v>
      </c>
      <c r="E16" s="1" t="str">
        <v>2026-03-30</v>
      </c>
      <c r="F16" s="1" t="str">
        <v>Active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 rightToLeft="0"/>
  </sheetViews>
  <sheetData>
    <row r="1">
      <c r="A1" s="1" t="str">
        <v>Attendant_ID</v>
      </c>
      <c r="B1" s="1" t="str">
        <v>Attendant_Name</v>
      </c>
      <c r="C1" s="1" t="str">
        <v>Shift</v>
      </c>
      <c r="D1" s="1" t="str">
        <v>Role</v>
      </c>
      <c r="E1" s="1" t="str">
        <v>Total_Weeks_Worked</v>
      </c>
      <c r="F1" s="1" t="str">
        <v>All_Time_Fuel_Sales</v>
      </c>
      <c r="G1" s="1" t="str">
        <v>All_Time_Lub_Qty</v>
      </c>
      <c r="H1" s="1" t="str">
        <v>Avg_Weekly_Fuel_Sales</v>
      </c>
      <c r="I1" s="1" t="str">
        <v>Best_Week_Fuel</v>
      </c>
      <c r="J1" s="1" t="str">
        <v>Worst_Week_Fuel</v>
      </c>
    </row>
    <row r="2">
      <c r="A2" s="1" t="str">
        <v>A01</v>
      </c>
      <c r="B2" s="1" t="str">
        <f>VLOOKUP(A2,StaffRegistry!A:B,2,FALSE())</f>
        <v>Chikondi Chirwa</v>
      </c>
      <c r="C2" s="1" t="str">
        <f>VLOOKUP(A2,StaffRegistry!A:C,3,FALSE())</f>
        <v>A</v>
      </c>
      <c r="D2" s="1" t="str">
        <f>VLOOKUP(A2,StaffRegistry!A:D,4,FALSE())</f>
        <v>Leader</v>
      </c>
      <c r="E2" s="1">
        <f>COUNTIFS(WeeklyInput!D$4:D$5000,A2,WeeklyInput!G$4:G$5000,"&gt;"&amp;0)</f>
        <v>2</v>
      </c>
      <c r="F2" s="1">
        <f>SUMIFS(WeeklyInput!G$4:G$5000,WeeklyInput!D$4:D$5000,A2)</f>
        <v>8181.52</v>
      </c>
      <c r="G2" s="1">
        <f>SUMIFS(WeeklyInput!H$4:H$5000,WeeklyInput!D$4:D$5000,A2)</f>
        <v>3</v>
      </c>
      <c r="H2" s="1">
        <f>IF(E2&gt;0,F2/E2,0)</f>
        <v>4090.76</v>
      </c>
      <c r="I2" s="1">
        <f>IFERROR(maxifs(WeeklyInput!G$4:G$5000,WeeklyInput!D$4:D$5000,A2),0)</f>
        <v>0</v>
      </c>
      <c r="J2" s="1">
        <f>IFERROR(minifs(WeeklyInput!G$4:G$5000,WeeklyInput!D$4:D$5000,A2,WeeklyInput!G$4:G$5000,"&gt;"&amp;0),0)</f>
        <v>0</v>
      </c>
    </row>
    <row r="3">
      <c r="A3" s="1" t="str">
        <v>A02</v>
      </c>
      <c r="B3" s="1" t="str">
        <f>VLOOKUP(A3,StaffRegistry!A:B,2,FALSE())</f>
        <v>Philip Kaukonde</v>
      </c>
      <c r="C3" s="1" t="str">
        <f>VLOOKUP(A3,StaffRegistry!A:C,3,FALSE())</f>
        <v>A</v>
      </c>
      <c r="D3" s="1" t="str">
        <f>VLOOKUP(A3,StaffRegistry!A:D,4,FALSE())</f>
        <v>Attendant</v>
      </c>
      <c r="E3" s="1">
        <f>COUNTIFS(WeeklyInput!D$4:D$5000,A3,WeeklyInput!G$4:G$5000,"&gt;"&amp;0)</f>
        <v>2</v>
      </c>
      <c r="F3" s="1">
        <f>SUMIFS(WeeklyInput!G$4:G$5000,WeeklyInput!D$4:D$5000,A3)</f>
        <v>2653.2</v>
      </c>
      <c r="G3" s="1">
        <f>SUMIFS(WeeklyInput!H$4:H$5000,WeeklyInput!D$4:D$5000,A3)</f>
        <v>105</v>
      </c>
      <c r="H3" s="1">
        <f>IF(E3&gt;0,F3/E3,0)</f>
        <v>1326.6</v>
      </c>
      <c r="I3" s="1">
        <f>IFERROR(maxifs(WeeklyInput!G$4:G$5000,WeeklyInput!D$4:D$5000,A3),0)</f>
        <v>0</v>
      </c>
      <c r="J3" s="1">
        <f>IFERROR(minifs(WeeklyInput!G$4:G$5000,WeeklyInput!D$4:D$5000,A3,WeeklyInput!G$4:G$5000,"&gt;"&amp;0),0)</f>
        <v>0</v>
      </c>
    </row>
    <row r="4">
      <c r="A4" s="1" t="str">
        <v>A03</v>
      </c>
      <c r="B4" s="1" t="str">
        <f>VLOOKUP(A4,StaffRegistry!A:B,2,FALSE())</f>
        <v>Jackson Issah</v>
      </c>
      <c r="C4" s="1" t="str">
        <f>VLOOKUP(A4,StaffRegistry!A:C,3,FALSE())</f>
        <v>A</v>
      </c>
      <c r="D4" s="1" t="str">
        <f>VLOOKUP(A4,StaffRegistry!A:D,4,FALSE())</f>
        <v>Attendant</v>
      </c>
      <c r="E4" s="1">
        <f>COUNTIFS(WeeklyInput!D$4:D$5000,A4,WeeklyInput!G$4:G$5000,"&gt;"&amp;0)</f>
        <v>2</v>
      </c>
      <c r="F4" s="1">
        <f>SUMIFS(WeeklyInput!G$4:G$5000,WeeklyInput!D$4:D$5000,A4)</f>
        <v>5569.74</v>
      </c>
      <c r="G4" s="1">
        <f>SUMIFS(WeeklyInput!H$4:H$5000,WeeklyInput!D$4:D$5000,A4)</f>
        <v>14</v>
      </c>
      <c r="H4" s="1">
        <f>IF(E4&gt;0,F4/E4,0)</f>
        <v>2784.87</v>
      </c>
      <c r="I4" s="1">
        <f>IFERROR(maxifs(WeeklyInput!G$4:G$5000,WeeklyInput!D$4:D$5000,A4),0)</f>
        <v>0</v>
      </c>
      <c r="J4" s="1">
        <f>IFERROR(minifs(WeeklyInput!G$4:G$5000,WeeklyInput!D$4:D$5000,A4,WeeklyInput!G$4:G$5000,"&gt;"&amp;0),0)</f>
        <v>0</v>
      </c>
    </row>
    <row r="5">
      <c r="A5" s="1" t="str">
        <v>A04</v>
      </c>
      <c r="B5" s="1" t="str">
        <f>VLOOKUP(A5,StaffRegistry!A:B,2,FALSE())</f>
        <v>Tiyamike Mwale</v>
      </c>
      <c r="C5" s="1" t="str">
        <f>VLOOKUP(A5,StaffRegistry!A:C,3,FALSE())</f>
        <v>A</v>
      </c>
      <c r="D5" s="1" t="str">
        <f>VLOOKUP(A5,StaffRegistry!A:D,4,FALSE())</f>
        <v>Attendant</v>
      </c>
      <c r="E5" s="1">
        <f>COUNTIFS(WeeklyInput!D$4:D$5000,A5,WeeklyInput!G$4:G$5000,"&gt;"&amp;0)</f>
        <v>2</v>
      </c>
      <c r="F5" s="1">
        <f>SUMIFS(WeeklyInput!G$4:G$5000,WeeklyInput!D$4:D$5000,A5)</f>
        <v>6827.67</v>
      </c>
      <c r="G5" s="1">
        <f>SUMIFS(WeeklyInput!H$4:H$5000,WeeklyInput!D$4:D$5000,A5)</f>
        <v>7.5</v>
      </c>
      <c r="H5" s="1">
        <f>IF(E5&gt;0,F5/E5,0)</f>
        <v>3413.835</v>
      </c>
      <c r="I5" s="1">
        <f>IFERROR(maxifs(WeeklyInput!G$4:G$5000,WeeklyInput!D$4:D$5000,A5),0)</f>
        <v>0</v>
      </c>
      <c r="J5" s="1">
        <f>IFERROR(minifs(WeeklyInput!G$4:G$5000,WeeklyInput!D$4:D$5000,A5,WeeklyInput!G$4:G$5000,"&gt;"&amp;0),0)</f>
        <v>0</v>
      </c>
    </row>
    <row r="6">
      <c r="A6" s="1" t="str">
        <v>A05</v>
      </c>
      <c r="B6" s="1" t="str">
        <f>VLOOKUP(A6,StaffRegistry!A:B,2,FALSE())</f>
        <v>Cyrus Nyirenda</v>
      </c>
      <c r="C6" s="1" t="str">
        <f>VLOOKUP(A6,StaffRegistry!A:C,3,FALSE())</f>
        <v>A</v>
      </c>
      <c r="D6" s="1" t="str">
        <f>VLOOKUP(A6,StaffRegistry!A:D,4,FALSE())</f>
        <v>Attendant</v>
      </c>
      <c r="E6" s="1">
        <f>COUNTIFS(WeeklyInput!D$4:D$5000,A6,WeeklyInput!G$4:G$5000,"&gt;"&amp;0)</f>
        <v>2</v>
      </c>
      <c r="F6" s="1">
        <f>SUMIFS(WeeklyInput!G$4:G$5000,WeeklyInput!D$4:D$5000,A6)</f>
        <v>6887.36</v>
      </c>
      <c r="G6" s="1">
        <f>SUMIFS(WeeklyInput!H$4:H$5000,WeeklyInput!D$4:D$5000,A6)</f>
        <v>0</v>
      </c>
      <c r="H6" s="1">
        <f>IF(E6&gt;0,F6/E6,0)</f>
        <v>3443.68</v>
      </c>
      <c r="I6" s="1">
        <f>IFERROR(maxifs(WeeklyInput!G$4:G$5000,WeeklyInput!D$4:D$5000,A6),0)</f>
        <v>0</v>
      </c>
      <c r="J6" s="1">
        <f>IFERROR(minifs(WeeklyInput!G$4:G$5000,WeeklyInput!D$4:D$5000,A6,WeeklyInput!G$4:G$5000,"&gt;"&amp;0),0)</f>
        <v>0</v>
      </c>
    </row>
    <row r="7">
      <c r="A7" s="1" t="str">
        <v>B01</v>
      </c>
      <c r="B7" s="1" t="str">
        <f>VLOOKUP(A7,StaffRegistry!A:B,2,FALSE())</f>
        <v>Moffat Nkhoma</v>
      </c>
      <c r="C7" s="1" t="str">
        <f>VLOOKUP(A7,StaffRegistry!A:C,3,FALSE())</f>
        <v>B</v>
      </c>
      <c r="D7" s="1" t="str">
        <f>VLOOKUP(A7,StaffRegistry!A:D,4,FALSE())</f>
        <v>Leader</v>
      </c>
      <c r="E7" s="1">
        <f>COUNTIFS(WeeklyInput!D$4:D$5000,A7,WeeklyInput!G$4:G$5000,"&gt;"&amp;0)</f>
        <v>2</v>
      </c>
      <c r="F7" s="1">
        <f>SUMIFS(WeeklyInput!G$4:G$5000,WeeklyInput!D$4:D$5000,A7)</f>
        <v>4061.58</v>
      </c>
      <c r="G7" s="1">
        <f>SUMIFS(WeeklyInput!H$4:H$5000,WeeklyInput!D$4:D$5000,A7)</f>
        <v>11.5</v>
      </c>
      <c r="H7" s="1">
        <f>IF(E7&gt;0,F7/E7,0)</f>
        <v>2030.79</v>
      </c>
      <c r="I7" s="1">
        <f>IFERROR(maxifs(WeeklyInput!G$4:G$5000,WeeklyInput!D$4:D$5000,A7),0)</f>
        <v>0</v>
      </c>
      <c r="J7" s="1">
        <f>IFERROR(minifs(WeeklyInput!G$4:G$5000,WeeklyInput!D$4:D$5000,A7,WeeklyInput!G$4:G$5000,"&gt;"&amp;0),0)</f>
        <v>0</v>
      </c>
    </row>
    <row r="8">
      <c r="A8" s="1" t="str">
        <v>B02</v>
      </c>
      <c r="B8" s="1" t="str">
        <f>VLOOKUP(A8,StaffRegistry!A:B,2,FALSE())</f>
        <v>Emmanuel Chinseu</v>
      </c>
      <c r="C8" s="1" t="str">
        <f>VLOOKUP(A8,StaffRegistry!A:C,3,FALSE())</f>
        <v>B</v>
      </c>
      <c r="D8" s="1" t="str">
        <f>VLOOKUP(A8,StaffRegistry!A:D,4,FALSE())</f>
        <v>Attendant</v>
      </c>
      <c r="E8" s="1">
        <f>COUNTIFS(WeeklyInput!D$4:D$5000,A8,WeeklyInput!G$4:G$5000,"&gt;"&amp;0)</f>
        <v>2</v>
      </c>
      <c r="F8" s="1">
        <f>SUMIFS(WeeklyInput!G$4:G$5000,WeeklyInput!D$4:D$5000,A8)</f>
        <v>8950.36</v>
      </c>
      <c r="G8" s="1">
        <f>SUMIFS(WeeklyInput!H$4:H$5000,WeeklyInput!D$4:D$5000,A8)</f>
        <v>0</v>
      </c>
      <c r="H8" s="1">
        <f>IF(E8&gt;0,F8/E8,0)</f>
        <v>4475.18</v>
      </c>
      <c r="I8" s="1">
        <f>IFERROR(maxifs(WeeklyInput!G$4:G$5000,WeeklyInput!D$4:D$5000,A8),0)</f>
        <v>0</v>
      </c>
      <c r="J8" s="1">
        <f>IFERROR(minifs(WeeklyInput!G$4:G$5000,WeeklyInput!D$4:D$5000,A8,WeeklyInput!G$4:G$5000,"&gt;"&amp;0),0)</f>
        <v>0</v>
      </c>
    </row>
    <row r="9">
      <c r="A9" s="1" t="str">
        <v>B03</v>
      </c>
      <c r="B9" s="1" t="str">
        <f>VLOOKUP(A9,StaffRegistry!A:B,2,FALSE())</f>
        <v>Emmanuel Makoko</v>
      </c>
      <c r="C9" s="1" t="str">
        <f>VLOOKUP(A9,StaffRegistry!A:C,3,FALSE())</f>
        <v>B</v>
      </c>
      <c r="D9" s="1" t="str">
        <f>VLOOKUP(A9,StaffRegistry!A:D,4,FALSE())</f>
        <v>Attendant</v>
      </c>
      <c r="E9" s="1">
        <f>COUNTIFS(WeeklyInput!D$4:D$5000,A9,WeeklyInput!G$4:G$5000,"&gt;"&amp;0)</f>
        <v>2</v>
      </c>
      <c r="F9" s="1">
        <f>SUMIFS(WeeklyInput!G$4:G$5000,WeeklyInput!D$4:D$5000,A9)</f>
        <v>7756.67</v>
      </c>
      <c r="G9" s="1">
        <f>SUMIFS(WeeklyInput!H$4:H$5000,WeeklyInput!D$4:D$5000,A9)</f>
        <v>0</v>
      </c>
      <c r="H9" s="1">
        <f>IF(E9&gt;0,F9/E9,0)</f>
        <v>3878.335</v>
      </c>
      <c r="I9" s="1">
        <f>IFERROR(maxifs(WeeklyInput!G$4:G$5000,WeeklyInput!D$4:D$5000,A9),0)</f>
        <v>0</v>
      </c>
      <c r="J9" s="1">
        <f>IFERROR(minifs(WeeklyInput!G$4:G$5000,WeeklyInput!D$4:D$5000,A9,WeeklyInput!G$4:G$5000,"&gt;"&amp;0),0)</f>
        <v>0</v>
      </c>
    </row>
    <row r="10">
      <c r="A10" s="1" t="str">
        <v>B04</v>
      </c>
      <c r="B10" s="1" t="str">
        <f>VLOOKUP(A10,StaffRegistry!A:B,2,FALSE())</f>
        <v>Flora Phiri</v>
      </c>
      <c r="C10" s="1" t="str">
        <f>VLOOKUP(A10,StaffRegistry!A:C,3,FALSE())</f>
        <v>B</v>
      </c>
      <c r="D10" s="1" t="str">
        <f>VLOOKUP(A10,StaffRegistry!A:D,4,FALSE())</f>
        <v>Attendant</v>
      </c>
      <c r="E10" s="1">
        <f>COUNTIFS(WeeklyInput!D$4:D$5000,A10,WeeklyInput!G$4:G$5000,"&gt;"&amp;0)</f>
        <v>2</v>
      </c>
      <c r="F10" s="1">
        <f>SUMIFS(WeeklyInput!G$4:G$5000,WeeklyInput!D$4:D$5000,A10)</f>
        <v>5049.84</v>
      </c>
      <c r="G10" s="1">
        <f>SUMIFS(WeeklyInput!H$4:H$5000,WeeklyInput!D$4:D$5000,A10)</f>
        <v>5.1</v>
      </c>
      <c r="H10" s="1">
        <f>IF(E10&gt;0,F10/E10,0)</f>
        <v>2524.92</v>
      </c>
      <c r="I10" s="1">
        <f>IFERROR(maxifs(WeeklyInput!G$4:G$5000,WeeklyInput!D$4:D$5000,A10),0)</f>
        <v>0</v>
      </c>
      <c r="J10" s="1">
        <f>IFERROR(minifs(WeeklyInput!G$4:G$5000,WeeklyInput!D$4:D$5000,A10,WeeklyInput!G$4:G$5000,"&gt;"&amp;0),0)</f>
        <v>0</v>
      </c>
    </row>
    <row r="11">
      <c r="A11" s="1" t="str">
        <v>B05</v>
      </c>
      <c r="B11" s="1" t="str">
        <f>VLOOKUP(A11,StaffRegistry!A:B,2,FALSE())</f>
        <v>Madalo Mchenga</v>
      </c>
      <c r="C11" s="1" t="str">
        <f>VLOOKUP(A11,StaffRegistry!A:C,3,FALSE())</f>
        <v>B</v>
      </c>
      <c r="D11" s="1" t="str">
        <f>VLOOKUP(A11,StaffRegistry!A:D,4,FALSE())</f>
        <v>Attendant</v>
      </c>
      <c r="E11" s="1">
        <f>COUNTIFS(WeeklyInput!D$4:D$5000,A11,WeeklyInput!G$4:G$5000,"&gt;"&amp;0)</f>
        <v>2</v>
      </c>
      <c r="F11" s="1">
        <f>SUMIFS(WeeklyInput!G$4:G$5000,WeeklyInput!D$4:D$5000,A11)</f>
        <v>5300.58</v>
      </c>
      <c r="G11" s="1">
        <f>SUMIFS(WeeklyInput!H$4:H$5000,WeeklyInput!D$4:D$5000,A11)</f>
        <v>0</v>
      </c>
      <c r="H11" s="1">
        <f>IF(E11&gt;0,F11/E11,0)</f>
        <v>2650.29</v>
      </c>
      <c r="I11" s="1">
        <f>IFERROR(maxifs(WeeklyInput!G$4:G$5000,WeeklyInput!D$4:D$5000,A11),0)</f>
        <v>0</v>
      </c>
      <c r="J11" s="1">
        <f>IFERROR(minifs(WeeklyInput!G$4:G$5000,WeeklyInput!D$4:D$5000,A11,WeeklyInput!G$4:G$5000,"&gt;"&amp;0),0)</f>
        <v>0</v>
      </c>
    </row>
    <row r="12">
      <c r="A12" s="1" t="str">
        <v>C01</v>
      </c>
      <c r="B12" s="1" t="str">
        <f>VLOOKUP(A12,StaffRegistry!A:B,2,FALSE())</f>
        <v>Pilirani Kulinj</v>
      </c>
      <c r="C12" s="1" t="str">
        <f>VLOOKUP(A12,StaffRegistry!A:C,3,FALSE())</f>
        <v>C</v>
      </c>
      <c r="D12" s="1" t="str">
        <f>VLOOKUP(A12,StaffRegistry!A:D,4,FALSE())</f>
        <v>Leader</v>
      </c>
      <c r="E12" s="1">
        <f>COUNTIFS(WeeklyInput!D$4:D$5000,A12,WeeklyInput!G$4:G$5000,"&gt;"&amp;0)</f>
        <v>2</v>
      </c>
      <c r="F12" s="1">
        <f>SUMIFS(WeeklyInput!G$4:G$5000,WeeklyInput!D$4:D$5000,A12)</f>
        <v>6502.95</v>
      </c>
      <c r="G12" s="1">
        <f>SUMIFS(WeeklyInput!H$4:H$5000,WeeklyInput!D$4:D$5000,A12)</f>
        <v>0</v>
      </c>
      <c r="H12" s="1">
        <f>IF(E12&gt;0,F12/E12,0)</f>
        <v>3251.475</v>
      </c>
      <c r="I12" s="1">
        <f>IFERROR(maxifs(WeeklyInput!G$4:G$5000,WeeklyInput!D$4:D$5000,A12),0)</f>
        <v>0</v>
      </c>
      <c r="J12" s="1">
        <f>IFERROR(minifs(WeeklyInput!G$4:G$5000,WeeklyInput!D$4:D$5000,A12,WeeklyInput!G$4:G$5000,"&gt;"&amp;0),0)</f>
        <v>0</v>
      </c>
    </row>
    <row r="13">
      <c r="A13" s="1" t="str">
        <v>C02</v>
      </c>
      <c r="B13" s="1" t="str">
        <f>VLOOKUP(A13,StaffRegistry!A:B,2,FALSE())</f>
        <v>Shadreck Bamusi</v>
      </c>
      <c r="C13" s="1" t="str">
        <f>VLOOKUP(A13,StaffRegistry!A:C,3,FALSE())</f>
        <v>C</v>
      </c>
      <c r="D13" s="1" t="str">
        <f>VLOOKUP(A13,StaffRegistry!A:D,4,FALSE())</f>
        <v>Attendant</v>
      </c>
      <c r="E13" s="1">
        <f>COUNTIFS(WeeklyInput!D$4:D$5000,A13,WeeklyInput!G$4:G$5000,"&gt;"&amp;0)</f>
        <v>2</v>
      </c>
      <c r="F13" s="1">
        <f>SUMIFS(WeeklyInput!G$4:G$5000,WeeklyInput!D$4:D$5000,A13)</f>
        <v>8500.04</v>
      </c>
      <c r="G13" s="1">
        <f>SUMIFS(WeeklyInput!H$4:H$5000,WeeklyInput!D$4:D$5000,A13)</f>
        <v>0</v>
      </c>
      <c r="H13" s="1">
        <f>IF(E13&gt;0,F13/E13,0)</f>
        <v>4250.02</v>
      </c>
      <c r="I13" s="1">
        <f>IFERROR(maxifs(WeeklyInput!G$4:G$5000,WeeklyInput!D$4:D$5000,A13),0)</f>
        <v>0</v>
      </c>
      <c r="J13" s="1">
        <f>IFERROR(minifs(WeeklyInput!G$4:G$5000,WeeklyInput!D$4:D$5000,A13,WeeklyInput!G$4:G$5000,"&gt;"&amp;0),0)</f>
        <v>0</v>
      </c>
    </row>
    <row r="14">
      <c r="A14" s="1" t="str">
        <v>C03</v>
      </c>
      <c r="B14" s="1" t="str">
        <f>VLOOKUP(A14,StaffRegistry!A:B,2,FALSE())</f>
        <v>Mike Siyasiya</v>
      </c>
      <c r="C14" s="1" t="str">
        <f>VLOOKUP(A14,StaffRegistry!A:C,3,FALSE())</f>
        <v>C</v>
      </c>
      <c r="D14" s="1" t="str">
        <f>VLOOKUP(A14,StaffRegistry!A:D,4,FALSE())</f>
        <v>Attendant</v>
      </c>
      <c r="E14" s="1">
        <f>COUNTIFS(WeeklyInput!D$4:D$5000,A14,WeeklyInput!G$4:G$5000,"&gt;"&amp;0)</f>
        <v>2</v>
      </c>
      <c r="F14" s="1">
        <f>SUMIFS(WeeklyInput!G$4:G$5000,WeeklyInput!D$4:D$5000,A14)</f>
        <v>7916.05</v>
      </c>
      <c r="G14" s="1">
        <f>SUMIFS(WeeklyInput!H$4:H$5000,WeeklyInput!D$4:D$5000,A14)</f>
        <v>0</v>
      </c>
      <c r="H14" s="1">
        <f>IF(E14&gt;0,F14/E14,0)</f>
        <v>3958.025</v>
      </c>
      <c r="I14" s="1">
        <f>IFERROR(maxifs(WeeklyInput!G$4:G$5000,WeeklyInput!D$4:D$5000,A14),0)</f>
        <v>0</v>
      </c>
      <c r="J14" s="1">
        <f>IFERROR(minifs(WeeklyInput!G$4:G$5000,WeeklyInput!D$4:D$5000,A14,WeeklyInput!G$4:G$5000,"&gt;"&amp;0),0)</f>
        <v>0</v>
      </c>
    </row>
    <row r="15">
      <c r="A15" s="1" t="str">
        <v>C04</v>
      </c>
      <c r="B15" s="1" t="str">
        <f>VLOOKUP(A15,StaffRegistry!A:B,2,FALSE())</f>
        <v>Austin Chakanda</v>
      </c>
      <c r="C15" s="1" t="str">
        <f>VLOOKUP(A15,StaffRegistry!A:C,3,FALSE())</f>
        <v>C</v>
      </c>
      <c r="D15" s="1" t="str">
        <f>VLOOKUP(A15,StaffRegistry!A:D,4,FALSE())</f>
        <v>Attendant</v>
      </c>
      <c r="E15" s="1">
        <f>COUNTIFS(WeeklyInput!D$4:D$5000,A15,WeeklyInput!G$4:G$5000,"&gt;"&amp;0)</f>
        <v>2</v>
      </c>
      <c r="F15" s="1">
        <f>SUMIFS(WeeklyInput!G$4:G$5000,WeeklyInput!D$4:D$5000,A15)</f>
        <v>8423.57</v>
      </c>
      <c r="G15" s="1">
        <f>SUMIFS(WeeklyInput!H$4:H$5000,WeeklyInput!D$4:D$5000,A15)</f>
        <v>0</v>
      </c>
      <c r="H15" s="1">
        <f>IF(E15&gt;0,F15/E15,0)</f>
        <v>4211.785</v>
      </c>
      <c r="I15" s="1">
        <f>IFERROR(maxifs(WeeklyInput!G$4:G$5000,WeeklyInput!D$4:D$5000,A15),0)</f>
        <v>0</v>
      </c>
      <c r="J15" s="1">
        <f>IFERROR(minifs(WeeklyInput!G$4:G$5000,WeeklyInput!D$4:D$5000,A15,WeeklyInput!G$4:G$5000,"&gt;"&amp;0),0)</f>
        <v>0</v>
      </c>
    </row>
    <row r="16">
      <c r="A16" s="1" t="str">
        <v>C05</v>
      </c>
      <c r="B16" s="1" t="str">
        <f>VLOOKUP(A16,StaffRegistry!A:B,2,FALSE())</f>
        <v>Watson Gondwe</v>
      </c>
      <c r="C16" s="1" t="str">
        <f>VLOOKUP(A16,StaffRegistry!A:C,3,FALSE())</f>
        <v>C</v>
      </c>
      <c r="D16" s="1" t="str">
        <f>VLOOKUP(A16,StaffRegistry!A:D,4,FALSE())</f>
        <v>Attendant</v>
      </c>
      <c r="E16" s="1">
        <f>COUNTIFS(WeeklyInput!D$4:D$5000,A16,WeeklyInput!G$4:G$5000,"&gt;"&amp;0)</f>
        <v>0</v>
      </c>
      <c r="F16" s="1">
        <f>SUMIFS(WeeklyInput!G$4:G$5000,WeeklyInput!D$4:D$5000,A16)</f>
        <v>0</v>
      </c>
      <c r="G16" s="1">
        <f>SUMIFS(WeeklyInput!H$4:H$5000,WeeklyInput!D$4:D$5000,A16)</f>
        <v>0</v>
      </c>
      <c r="H16" s="1">
        <f>IF(E16&gt;0,F16/E16,0)</f>
        <v>0</v>
      </c>
      <c r="I16" s="1">
        <f>IFERROR(maxifs(WeeklyInput!G$4:G$5000,WeeklyInput!D$4:D$5000,A16),0)</f>
        <v>0</v>
      </c>
      <c r="J16" s="1">
        <f>IFERROR(minifs(WeeklyInput!G$4:G$5000,WeeklyInput!D$4:D$5000,A16,WeeklyInput!G$4:G$5000,"&gt;"&amp;0),0)</f>
        <v>0</v>
      </c>
    </row>
  </sheetData>
  <pageMargins left="0.75" right="0.75" top="1" bottom="1" header="0.511811023622047" footer="0.511811023622047"/>
  <ignoredErrors>
    <ignoredError numberStoredAsText="1" sqref="A1:J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s="1" t="str">
        <v>Shift</v>
      </c>
      <c r="B1" s="1" t="str">
        <v>Total_Fuel_Sales</v>
      </c>
      <c r="C1" s="1" t="str">
        <v>Total_Lub_Qty</v>
      </c>
      <c r="D1" s="1" t="str">
        <v>Avg_Weekly_Shift_Sales</v>
      </c>
      <c r="E1" s="1" t="str">
        <v>Total_Weeks</v>
      </c>
      <c r="F1" s="1" t="str">
        <v>Best_Week_Sales</v>
      </c>
      <c r="G1" s="1" t="str">
        <v>Worst_Week_Sales</v>
      </c>
      <c r="H1" s="1" t="str">
        <v>Num_Attendants</v>
      </c>
    </row>
    <row r="2">
      <c r="A2" s="1" t="str">
        <v>A</v>
      </c>
      <c r="B2" s="1">
        <f>SUMIFS(WeeklyInput!G$4:G$5000,WeeklyInput!C$4:C$5000,A2)</f>
        <v>30119.49</v>
      </c>
      <c r="C2" s="1">
        <f>SUMIFS(WeeklyInput!H$4:H$5000,WeeklyInput!C$4:C$5000,A2)</f>
        <v>129.5</v>
      </c>
      <c r="D2" s="1">
        <f>IF(E2&gt;0,B2/E2,0)</f>
        <v>15059.745</v>
      </c>
      <c r="E2" s="1">
        <f>SUMPRODUCT((WeeklyInput!C$4:C$5000=A2)*(WeeklyInput!G$4:G$5000&gt;0))/COUNTIFS(StaffRegistry!C:C,A2,StaffRegistry!F:F,"Active")</f>
        <v>2</v>
      </c>
      <c r="F2" s="1">
        <f>IFERROR(maxifs(WeeklyInput!G$4:G$5000,WeeklyInput!C$4:C$5000,A2),0)</f>
        <v>0</v>
      </c>
      <c r="G2" s="1">
        <f>IFERROR(minifs(WeeklyInput!G$4:G$5000,WeeklyInput!C$4:C$5000,A2,WeeklyInput!G$4:G$5000,"&gt;"&amp;0),0)</f>
        <v>0</v>
      </c>
      <c r="H2" s="1">
        <f>COUNTIFS(StaffRegistry!C:C,A2,StaffRegistry!F:F,"Active")</f>
        <v>5</v>
      </c>
    </row>
    <row r="3">
      <c r="A3" s="1" t="str">
        <v>B</v>
      </c>
      <c r="B3" s="1">
        <f>SUMIFS(WeeklyInput!G$4:G$5000,WeeklyInput!C$4:C$5000,A3)</f>
        <v>31119.03</v>
      </c>
      <c r="C3" s="1">
        <f>SUMIFS(WeeklyInput!H$4:H$5000,WeeklyInput!C$4:C$5000,A3)</f>
        <v>16.6</v>
      </c>
      <c r="D3" s="1">
        <f>IF(E3&gt;0,B3/E3,0)</f>
        <v>15559.515</v>
      </c>
      <c r="E3" s="1">
        <f>SUMPRODUCT((WeeklyInput!C$4:C$5000=A3)*(WeeklyInput!G$4:G$5000&gt;0))/COUNTIFS(StaffRegistry!C:C,A3,StaffRegistry!F:F,"Active")</f>
        <v>2</v>
      </c>
      <c r="F3" s="1">
        <f>IFERROR(maxifs(WeeklyInput!G$4:G$5000,WeeklyInput!C$4:C$5000,A3),0)</f>
        <v>0</v>
      </c>
      <c r="G3" s="1">
        <f>IFERROR(minifs(WeeklyInput!G$4:G$5000,WeeklyInput!C$4:C$5000,A3,WeeklyInput!G$4:G$5000,"&gt;"&amp;0),0)</f>
        <v>0</v>
      </c>
      <c r="H3" s="1">
        <f>COUNTIFS(StaffRegistry!C:C,A3,StaffRegistry!F:F,"Active")</f>
        <v>5</v>
      </c>
    </row>
    <row r="4">
      <c r="A4" s="1" t="str">
        <v>C</v>
      </c>
      <c r="B4" s="1">
        <f>SUMIFS(WeeklyInput!G$4:G$5000,WeeklyInput!C$4:C$5000,A4)</f>
        <v>31342.61</v>
      </c>
      <c r="C4" s="1">
        <f>SUMIFS(WeeklyInput!H$4:H$5000,WeeklyInput!C$4:C$5000,A4)</f>
        <v>0</v>
      </c>
      <c r="D4" s="1">
        <f>IF(E4&gt;0,B4/E4,0)</f>
        <v>19589.13125</v>
      </c>
      <c r="E4" s="1">
        <f>SUMPRODUCT((WeeklyInput!C$4:C$5000=A4)*(WeeklyInput!G$4:G$5000&gt;0))/COUNTIFS(StaffRegistry!C:C,A4,StaffRegistry!F:F,"Active")</f>
        <v>1.6</v>
      </c>
      <c r="F4" s="1">
        <f>IFERROR(maxifs(WeeklyInput!G$4:G$5000,WeeklyInput!C$4:C$5000,A4),0)</f>
        <v>0</v>
      </c>
      <c r="G4" s="1">
        <f>IFERROR(minifs(WeeklyInput!G$4:G$5000,WeeklyInput!C$4:C$5000,A4,WeeklyInput!G$4:G$5000,"&gt;"&amp;0),0)</f>
        <v>0</v>
      </c>
      <c r="H4" s="1">
        <f>COUNTIFS(StaffRegistry!C:C,A4,StaffRegistry!F:F,"Active")</f>
        <v>5</v>
      </c>
    </row>
    <row r="5">
      <c r="A5" s="1" t="str">
        <v>ALL SHIFTS</v>
      </c>
      <c r="B5" s="1">
        <f>SUM(B2:B4)</f>
        <v>92581.13</v>
      </c>
      <c r="C5" s="1">
        <f>SUM(C2:C4)</f>
        <v>146.1</v>
      </c>
      <c r="D5" s="1">
        <f>SUM(D2:D4)</f>
        <v>50208.39125</v>
      </c>
      <c r="H5" s="1">
        <f>SUM(H2:H4)</f>
        <v>15</v>
      </c>
    </row>
  </sheetData>
  <pageMargins left="0.75" right="0.75" top="1" bottom="1" header="0.511811023622047" footer="0.511811023622047"/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1" t="str">
        <v>Week_Start</v>
      </c>
      <c r="B1" s="1" t="str">
        <v>Week_End</v>
      </c>
      <c r="C1" s="1" t="str">
        <v>Shift_A_Sales</v>
      </c>
      <c r="D1" s="1" t="str">
        <v>Shift_B_Sales</v>
      </c>
      <c r="E1" s="1" t="str">
        <v>Shift_C_Sales</v>
      </c>
      <c r="F1" s="1" t="str">
        <v>Total_Weekly_Sales</v>
      </c>
      <c r="G1" s="1" t="str">
        <v>Total_Lub</v>
      </c>
      <c r="H1" s="1" t="str">
        <v>WoW_Change</v>
      </c>
      <c r="I1" s="1" t="str">
        <v>WoW_%</v>
      </c>
    </row>
    <row r="2">
      <c r="A2" s="1" t="str">
        <v>2026-03-30</v>
      </c>
      <c r="B2" s="1" t="str">
        <v>2026-04-05</v>
      </c>
      <c r="C2" s="1">
        <f>SUMIFS(WeeklyInput!G$4:G$5000,WeeklyInput!A$4:A$5000,A2,WeeklyInput!C$4:C$5000,"A")</f>
        <v>18135.64</v>
      </c>
      <c r="D2" s="1">
        <f>SUMIFS(WeeklyInput!G$4:G$5000,WeeklyInput!A$4:A$5000,A2,WeeklyInput!C$4:C$5000,"B")</f>
        <v>15686</v>
      </c>
      <c r="E2" s="1">
        <f>SUMIFS(WeeklyInput!G$4:G$5000,WeeklyInput!A$4:A$5000,A2,WeeklyInput!C$4:C$5000,"C")</f>
        <v>15892.08</v>
      </c>
      <c r="F2" s="1">
        <f>SUM(C2:E2)</f>
        <v>49713.72</v>
      </c>
      <c r="G2" s="1">
        <f>SUMIFS(WeeklyInput!H$4:H$5000,WeeklyInput!A$4:A$5000,A2)</f>
        <v>139.1</v>
      </c>
      <c r="H2" s="1" t="str">
        <v>-</v>
      </c>
      <c r="I2" s="1" t="str">
        <v>-</v>
      </c>
    </row>
    <row r="3">
      <c r="A3" s="1" t="str">
        <v>2026-04-06</v>
      </c>
      <c r="B3" s="1" t="str">
        <v>2026-04-12</v>
      </c>
      <c r="C3" s="1">
        <f>SUMIFS(WeeklyInput!G$4:G$5000,WeeklyInput!A$4:A$5000,A3,WeeklyInput!C$4:C$5000,"A")</f>
        <v>11983.85</v>
      </c>
      <c r="D3" s="1">
        <f>SUMIFS(WeeklyInput!G$4:G$5000,WeeklyInput!A$4:A$5000,A3,WeeklyInput!C$4:C$5000,"B")</f>
        <v>15433.03</v>
      </c>
      <c r="E3" s="1">
        <f>SUMIFS(WeeklyInput!G$4:G$5000,WeeklyInput!A$4:A$5000,A3,WeeklyInput!C$4:C$5000,"C")</f>
        <v>15450.53</v>
      </c>
      <c r="F3" s="1">
        <f>SUM(C3:E3)</f>
        <v>42867.41</v>
      </c>
      <c r="G3" s="1">
        <f>SUMIFS(WeeklyInput!H$4:H$5000,WeeklyInput!A$4:A$5000,A3)</f>
        <v>7</v>
      </c>
      <c r="H3" s="1">
        <f>F3-F2</f>
        <v>-6846.31</v>
      </c>
      <c r="I3" s="1">
        <f>IF(F2&gt;0,(F3-F2)/F2,0)</f>
        <v>-0.13771469928221</v>
      </c>
    </row>
  </sheetData>
  <pageMargins left="0.75" right="0.75" top="1" bottom="1" header="0.511811023622047" footer="0.511811023622047"/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1" t="str">
        <v>Month</v>
      </c>
      <c r="B1" s="1" t="str">
        <v>Year</v>
      </c>
      <c r="C1" s="1" t="str">
        <v>Shift_A_Sales</v>
      </c>
      <c r="D1" s="1" t="str">
        <v>Shift_B_Sales</v>
      </c>
      <c r="E1" s="1" t="str">
        <v>Shift_C_Sales</v>
      </c>
      <c r="F1" s="1" t="str">
        <v>Total_Monthly_Sales</v>
      </c>
      <c r="G1" s="1" t="str">
        <v>Total_Lub</v>
      </c>
      <c r="H1" s="1" t="str">
        <v>MoM_Change</v>
      </c>
      <c r="I1" s="1" t="str">
        <v>MoM_%</v>
      </c>
    </row>
    <row r="2">
      <c r="A2" s="1" t="str">
        <v>March</v>
      </c>
      <c r="B2" s="1">
        <v>2026</v>
      </c>
      <c r="C2" s="1">
        <f>SUMPRODUCT((MONTH(WeeklyInput!A$4:A$5000)=3)*(YEAR(WeeklyInput!A$4:A$5000)=2026)*(WeeklyInput!C$4:C$5000="A")*WeeklyInput!G$4:G$5000)</f>
        <v>18135.64</v>
      </c>
      <c r="D2" s="1">
        <f>SUMPRODUCT((MONTH(WeeklyInput!A$4:A$5000)=3)*(YEAR(WeeklyInput!A$4:A$5000)=2026)*(WeeklyInput!C$4:C$5000="B")*WeeklyInput!G$4:G$5000)</f>
        <v>15686</v>
      </c>
      <c r="E2" s="1">
        <f>SUMPRODUCT((MONTH(WeeklyInput!A$4:A$5000)=3)*(YEAR(WeeklyInput!A$4:A$5000)=2026)*(WeeklyInput!C$4:C$5000="C")*WeeklyInput!G$4:G$5000)</f>
        <v>15892.08</v>
      </c>
      <c r="F2" s="1">
        <f>SUM(C2:E2)</f>
        <v>49713.72</v>
      </c>
      <c r="G2" s="1">
        <f>SUMPRODUCT((MONTH(WeeklyInput!A$4:A$5000)=3)*(YEAR(WeeklyInput!A$4:A$5000)=2026)*WeeklyInput!H$4:H$5000)</f>
        <v>139.1</v>
      </c>
      <c r="H2" s="1" t="str">
        <v>-</v>
      </c>
      <c r="I2" s="1" t="str">
        <v>-</v>
      </c>
    </row>
    <row r="3">
      <c r="A3" s="1" t="str">
        <v>April</v>
      </c>
      <c r="B3" s="1">
        <v>2026</v>
      </c>
      <c r="C3" s="1">
        <f>SUMPRODUCT((MONTH(WeeklyInput!A$4:A$5000)=4)*(YEAR(WeeklyInput!A$4:A$5000)=2026)*(WeeklyInput!C$4:C$5000="A")*WeeklyInput!G$4:G$5000)</f>
        <v>11983.85</v>
      </c>
      <c r="D3" s="1">
        <f>SUMPRODUCT((MONTH(WeeklyInput!A$4:A$5000)=4)*(YEAR(WeeklyInput!A$4:A$5000)=2026)*(WeeklyInput!C$4:C$5000="B")*WeeklyInput!G$4:G$5000)</f>
        <v>15433.03</v>
      </c>
      <c r="E3" s="1">
        <f>SUMPRODUCT((MONTH(WeeklyInput!A$4:A$5000)=4)*(YEAR(WeeklyInput!A$4:A$5000)=2026)*(WeeklyInput!C$4:C$5000="C")*WeeklyInput!G$4:G$5000)</f>
        <v>15450.53</v>
      </c>
      <c r="F3" s="1">
        <f>SUM(C3:E3)</f>
        <v>42867.41</v>
      </c>
      <c r="G3" s="1">
        <f>SUMPRODUCT((MONTH(WeeklyInput!A$4:A$5000)=4)*(YEAR(WeeklyInput!A$4:A$5000)=2026)*WeeklyInput!H$4:H$5000)</f>
        <v>7</v>
      </c>
      <c r="H3" s="1">
        <f>F3-F2</f>
        <v>-6846.31</v>
      </c>
      <c r="I3" s="1">
        <f>IF(F2&gt;0,(F3-F2)/F2,0)</f>
        <v>-0.13771469928221</v>
      </c>
    </row>
  </sheetData>
  <pageMargins left="0.75" right="0.75" top="1" bottom="1" header="0.511811023622047" footer="0.511811023622047"/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 rightToLeft="0"/>
  </sheetViews>
  <sheetData>
    <row r="1">
      <c r="A1" s="1" t="str">
        <v>DASHBOARD DATA LAYER</v>
      </c>
    </row>
    <row r="2">
      <c r="A2" s="1" t="str">
        <v>This sheet provides pre-aggregated data for dashboard tools (Power BI, Tableau, Excel dashboard).</v>
      </c>
    </row>
    <row r="4">
      <c r="A4" s="1" t="str">
        <v>KEY METRICS</v>
      </c>
    </row>
    <row r="5">
      <c r="A5" s="1" t="str">
        <v>All-Time Total Fuel Sales</v>
      </c>
      <c r="B5" s="1">
        <f>SUM(WeeklyInput!G$4:G$5000)</f>
        <v>92581.13</v>
      </c>
    </row>
    <row r="6">
      <c r="A6" s="1" t="str">
        <v>All-Time Total Lub Qty</v>
      </c>
      <c r="B6" s="1">
        <f>SUM(WeeklyInput!H$4:H$5000)</f>
        <v>146.1</v>
      </c>
    </row>
    <row r="7">
      <c r="A7" s="1" t="str">
        <v>Total Weeks Recorded</v>
      </c>
      <c r="B7" s="1">
        <f>IFERROR(SUMPRODUCT(1/COUNTIFS(WeeklyInput!A$4:A$5000,WeeklyInput!A$4:A$5000,WeeklyInput!G$4:G$5000,"&gt;"&amp;0)),0)</f>
        <v>0</v>
      </c>
    </row>
    <row r="8">
      <c r="A8" s="1" t="str">
        <v>Grand Average Weekly Sales</v>
      </c>
      <c r="B8" s="1">
        <f>IF(B7&gt;0,B5/B7,0)</f>
        <v>0</v>
      </c>
    </row>
    <row r="9">
      <c r="A9" s="1" t="str">
        <v>Best Individual Week (All-Time)</v>
      </c>
      <c r="B9" s="1">
        <f>MAX(WeeklyInput!G$4:G$5000)</f>
        <v>6662.63</v>
      </c>
    </row>
    <row r="10">
      <c r="A10" s="1" t="str">
        <v>Active Attendants</v>
      </c>
      <c r="B10" s="1">
        <f>COUNTIF(StaffRegistry!F:F,"Active")</f>
        <v>15</v>
      </c>
    </row>
    <row r="13">
      <c r="A13" s="1" t="str">
        <v>ATTENDANT RANKINGS (by All-Time Sales)</v>
      </c>
    </row>
    <row r="14">
      <c r="A14" s="1" t="str">
        <v>Rank</v>
      </c>
      <c r="B14" s="1" t="str">
        <v>Attendant_ID</v>
      </c>
      <c r="C14" s="1" t="str">
        <v>Attendant_Name</v>
      </c>
      <c r="D14" s="1" t="str">
        <v>Shift</v>
      </c>
      <c r="E14" s="1" t="str">
        <v>All_Time_Sales</v>
      </c>
      <c r="F14" s="1" t="str">
        <v>Avg_Weekly</v>
      </c>
    </row>
    <row r="15">
      <c r="A15" s="1">
        <v>1</v>
      </c>
      <c r="B15" s="1" t="str">
        <f>INDEX(IndividualSummary!A$2:A$16,MATCH(LARGE(IndividualSummary!F$2:F$16,A15),IndividualSummary!F$2:F$16,0))</f>
        <v>B02</v>
      </c>
      <c r="C15" s="1" t="str">
        <f>VLOOKUP(B15,StaffRegistry!A:B,2,FALSE())</f>
        <v>Emmanuel Chinseu</v>
      </c>
      <c r="D15" s="1" t="str">
        <f>VLOOKUP(B15,StaffRegistry!A:C,3,FALSE())</f>
        <v>B</v>
      </c>
      <c r="E15" s="1">
        <f>VLOOKUP(B15,IndividualSummary!A:F,6,FALSE())</f>
        <v>8950.36</v>
      </c>
      <c r="F15" s="1">
        <f>VLOOKUP(B15,IndividualSummary!A:H,8,FALSE())</f>
        <v>4475.18</v>
      </c>
    </row>
    <row r="16">
      <c r="A16" s="1">
        <v>2</v>
      </c>
      <c r="B16" s="1" t="str">
        <f>INDEX(IndividualSummary!A$2:A$16,MATCH(LARGE(IndividualSummary!F$2:F$16,A16),IndividualSummary!F$2:F$16,0))</f>
        <v>C02</v>
      </c>
      <c r="C16" s="1" t="str">
        <f>VLOOKUP(B16,StaffRegistry!A:B,2,FALSE())</f>
        <v>Shadreck Bamusi</v>
      </c>
      <c r="D16" s="1" t="str">
        <f>VLOOKUP(B16,StaffRegistry!A:C,3,FALSE())</f>
        <v>C</v>
      </c>
      <c r="E16" s="1">
        <f>VLOOKUP(B16,IndividualSummary!A:F,6,FALSE())</f>
        <v>8500.04</v>
      </c>
      <c r="F16" s="1">
        <f>VLOOKUP(B16,IndividualSummary!A:H,8,FALSE())</f>
        <v>4250.02</v>
      </c>
    </row>
    <row r="17">
      <c r="A17" s="1">
        <v>3</v>
      </c>
      <c r="B17" s="1" t="str">
        <f>INDEX(IndividualSummary!A$2:A$16,MATCH(LARGE(IndividualSummary!F$2:F$16,A17),IndividualSummary!F$2:F$16,0))</f>
        <v>C04</v>
      </c>
      <c r="C17" s="1" t="str">
        <f>VLOOKUP(B17,StaffRegistry!A:B,2,FALSE())</f>
        <v>Austin Chakanda</v>
      </c>
      <c r="D17" s="1" t="str">
        <f>VLOOKUP(B17,StaffRegistry!A:C,3,FALSE())</f>
        <v>C</v>
      </c>
      <c r="E17" s="1">
        <f>VLOOKUP(B17,IndividualSummary!A:F,6,FALSE())</f>
        <v>8423.57</v>
      </c>
      <c r="F17" s="1">
        <f>VLOOKUP(B17,IndividualSummary!A:H,8,FALSE())</f>
        <v>4211.785</v>
      </c>
    </row>
    <row r="18">
      <c r="A18" s="1">
        <v>4</v>
      </c>
      <c r="B18" s="1" t="str">
        <f>INDEX(IndividualSummary!A$2:A$16,MATCH(LARGE(IndividualSummary!F$2:F$16,A18),IndividualSummary!F$2:F$16,0))</f>
        <v>A01</v>
      </c>
      <c r="C18" s="1" t="str">
        <f>VLOOKUP(B18,StaffRegistry!A:B,2,FALSE())</f>
        <v>Chikondi Chirwa</v>
      </c>
      <c r="D18" s="1" t="str">
        <f>VLOOKUP(B18,StaffRegistry!A:C,3,FALSE())</f>
        <v>A</v>
      </c>
      <c r="E18" s="1">
        <f>VLOOKUP(B18,IndividualSummary!A:F,6,FALSE())</f>
        <v>8181.52</v>
      </c>
      <c r="F18" s="1">
        <f>VLOOKUP(B18,IndividualSummary!A:H,8,FALSE())</f>
        <v>4090.76</v>
      </c>
    </row>
    <row r="19">
      <c r="A19" s="1">
        <v>5</v>
      </c>
      <c r="B19" s="1" t="str">
        <f>INDEX(IndividualSummary!A$2:A$16,MATCH(LARGE(IndividualSummary!F$2:F$16,A19),IndividualSummary!F$2:F$16,0))</f>
        <v>C03</v>
      </c>
      <c r="C19" s="1" t="str">
        <f>VLOOKUP(B19,StaffRegistry!A:B,2,FALSE())</f>
        <v>Mike Siyasiya</v>
      </c>
      <c r="D19" s="1" t="str">
        <f>VLOOKUP(B19,StaffRegistry!A:C,3,FALSE())</f>
        <v>C</v>
      </c>
      <c r="E19" s="1">
        <f>VLOOKUP(B19,IndividualSummary!A:F,6,FALSE())</f>
        <v>7916.05</v>
      </c>
      <c r="F19" s="1">
        <f>VLOOKUP(B19,IndividualSummary!A:H,8,FALSE())</f>
        <v>3958.025</v>
      </c>
    </row>
    <row r="20">
      <c r="A20" s="1">
        <v>6</v>
      </c>
      <c r="B20" s="1" t="str">
        <f>INDEX(IndividualSummary!A$2:A$16,MATCH(LARGE(IndividualSummary!F$2:F$16,A20),IndividualSummary!F$2:F$16,0))</f>
        <v>B03</v>
      </c>
      <c r="C20" s="1" t="str">
        <f>VLOOKUP(B20,StaffRegistry!A:B,2,FALSE())</f>
        <v>Emmanuel Makoko</v>
      </c>
      <c r="D20" s="1" t="str">
        <f>VLOOKUP(B20,StaffRegistry!A:C,3,FALSE())</f>
        <v>B</v>
      </c>
      <c r="E20" s="1">
        <f>VLOOKUP(B20,IndividualSummary!A:F,6,FALSE())</f>
        <v>7756.67</v>
      </c>
      <c r="F20" s="1">
        <f>VLOOKUP(B20,IndividualSummary!A:H,8,FALSE())</f>
        <v>3878.335</v>
      </c>
    </row>
    <row r="21">
      <c r="A21" s="1">
        <v>7</v>
      </c>
      <c r="B21" s="1" t="str">
        <f>INDEX(IndividualSummary!A$2:A$16,MATCH(LARGE(IndividualSummary!F$2:F$16,A21),IndividualSummary!F$2:F$16,0))</f>
        <v>A05</v>
      </c>
      <c r="C21" s="1" t="str">
        <f>VLOOKUP(B21,StaffRegistry!A:B,2,FALSE())</f>
        <v>Cyrus Nyirenda</v>
      </c>
      <c r="D21" s="1" t="str">
        <f>VLOOKUP(B21,StaffRegistry!A:C,3,FALSE())</f>
        <v>A</v>
      </c>
      <c r="E21" s="1">
        <f>VLOOKUP(B21,IndividualSummary!A:F,6,FALSE())</f>
        <v>6887.36</v>
      </c>
      <c r="F21" s="1">
        <f>VLOOKUP(B21,IndividualSummary!A:H,8,FALSE())</f>
        <v>3443.68</v>
      </c>
    </row>
    <row r="22">
      <c r="A22" s="1">
        <v>8</v>
      </c>
      <c r="B22" s="1" t="str">
        <f>INDEX(IndividualSummary!A$2:A$16,MATCH(LARGE(IndividualSummary!F$2:F$16,A22),IndividualSummary!F$2:F$16,0))</f>
        <v>A04</v>
      </c>
      <c r="C22" s="1" t="str">
        <f>VLOOKUP(B22,StaffRegistry!A:B,2,FALSE())</f>
        <v>Tiyamike Mwale</v>
      </c>
      <c r="D22" s="1" t="str">
        <f>VLOOKUP(B22,StaffRegistry!A:C,3,FALSE())</f>
        <v>A</v>
      </c>
      <c r="E22" s="1">
        <f>VLOOKUP(B22,IndividualSummary!A:F,6,FALSE())</f>
        <v>6827.67</v>
      </c>
      <c r="F22" s="1">
        <f>VLOOKUP(B22,IndividualSummary!A:H,8,FALSE())</f>
        <v>3413.835</v>
      </c>
    </row>
    <row r="23">
      <c r="A23" s="1">
        <v>9</v>
      </c>
      <c r="B23" s="1" t="str">
        <f>INDEX(IndividualSummary!A$2:A$16,MATCH(LARGE(IndividualSummary!F$2:F$16,A23),IndividualSummary!F$2:F$16,0))</f>
        <v>C01</v>
      </c>
      <c r="C23" s="1" t="str">
        <f>VLOOKUP(B23,StaffRegistry!A:B,2,FALSE())</f>
        <v>Pilirani Kulinj</v>
      </c>
      <c r="D23" s="1" t="str">
        <f>VLOOKUP(B23,StaffRegistry!A:C,3,FALSE())</f>
        <v>C</v>
      </c>
      <c r="E23" s="1">
        <f>VLOOKUP(B23,IndividualSummary!A:F,6,FALSE())</f>
        <v>6502.95</v>
      </c>
      <c r="F23" s="1">
        <f>VLOOKUP(B23,IndividualSummary!A:H,8,FALSE())</f>
        <v>3251.475</v>
      </c>
    </row>
    <row r="24">
      <c r="A24" s="1">
        <v>10</v>
      </c>
      <c r="B24" s="1" t="str">
        <f>INDEX(IndividualSummary!A$2:A$16,MATCH(LARGE(IndividualSummary!F$2:F$16,A24),IndividualSummary!F$2:F$16,0))</f>
        <v>A03</v>
      </c>
      <c r="C24" s="1" t="str">
        <f>VLOOKUP(B24,StaffRegistry!A:B,2,FALSE())</f>
        <v>Jackson Issah</v>
      </c>
      <c r="D24" s="1" t="str">
        <f>VLOOKUP(B24,StaffRegistry!A:C,3,FALSE())</f>
        <v>A</v>
      </c>
      <c r="E24" s="1">
        <f>VLOOKUP(B24,IndividualSummary!A:F,6,FALSE())</f>
        <v>5569.74</v>
      </c>
      <c r="F24" s="1">
        <f>VLOOKUP(B24,IndividualSummary!A:H,8,FALSE())</f>
        <v>2784.87</v>
      </c>
    </row>
    <row r="25">
      <c r="A25" s="1">
        <v>11</v>
      </c>
      <c r="B25" s="1" t="str">
        <f>INDEX(IndividualSummary!A$2:A$16,MATCH(LARGE(IndividualSummary!F$2:F$16,A25),IndividualSummary!F$2:F$16,0))</f>
        <v>B05</v>
      </c>
      <c r="C25" s="1" t="str">
        <f>VLOOKUP(B25,StaffRegistry!A:B,2,FALSE())</f>
        <v>Madalo Mchenga</v>
      </c>
      <c r="D25" s="1" t="str">
        <f>VLOOKUP(B25,StaffRegistry!A:C,3,FALSE())</f>
        <v>B</v>
      </c>
      <c r="E25" s="1">
        <f>VLOOKUP(B25,IndividualSummary!A:F,6,FALSE())</f>
        <v>5300.58</v>
      </c>
      <c r="F25" s="1">
        <f>VLOOKUP(B25,IndividualSummary!A:H,8,FALSE())</f>
        <v>2650.29</v>
      </c>
    </row>
    <row r="26">
      <c r="A26" s="1">
        <v>12</v>
      </c>
      <c r="B26" s="1" t="str">
        <f>INDEX(IndividualSummary!A$2:A$16,MATCH(LARGE(IndividualSummary!F$2:F$16,A26),IndividualSummary!F$2:F$16,0))</f>
        <v>B04</v>
      </c>
      <c r="C26" s="1" t="str">
        <f>VLOOKUP(B26,StaffRegistry!A:B,2,FALSE())</f>
        <v>Flora Phiri</v>
      </c>
      <c r="D26" s="1" t="str">
        <f>VLOOKUP(B26,StaffRegistry!A:C,3,FALSE())</f>
        <v>B</v>
      </c>
      <c r="E26" s="1">
        <f>VLOOKUP(B26,IndividualSummary!A:F,6,FALSE())</f>
        <v>5049.84</v>
      </c>
      <c r="F26" s="1">
        <f>VLOOKUP(B26,IndividualSummary!A:H,8,FALSE())</f>
        <v>2524.92</v>
      </c>
    </row>
    <row r="27">
      <c r="A27" s="1">
        <v>13</v>
      </c>
      <c r="B27" s="1" t="str">
        <f>INDEX(IndividualSummary!A$2:A$16,MATCH(LARGE(IndividualSummary!F$2:F$16,A27),IndividualSummary!F$2:F$16,0))</f>
        <v>B01</v>
      </c>
      <c r="C27" s="1" t="str">
        <f>VLOOKUP(B27,StaffRegistry!A:B,2,FALSE())</f>
        <v>Moffat Nkhoma</v>
      </c>
      <c r="D27" s="1" t="str">
        <f>VLOOKUP(B27,StaffRegistry!A:C,3,FALSE())</f>
        <v>B</v>
      </c>
      <c r="E27" s="1">
        <f>VLOOKUP(B27,IndividualSummary!A:F,6,FALSE())</f>
        <v>4061.58</v>
      </c>
      <c r="F27" s="1">
        <f>VLOOKUP(B27,IndividualSummary!A:H,8,FALSE())</f>
        <v>2030.79</v>
      </c>
    </row>
    <row r="28">
      <c r="A28" s="1">
        <v>14</v>
      </c>
      <c r="B28" s="1" t="str">
        <f>INDEX(IndividualSummary!A$2:A$16,MATCH(LARGE(IndividualSummary!F$2:F$16,A28),IndividualSummary!F$2:F$16,0))</f>
        <v>A02</v>
      </c>
      <c r="C28" s="1" t="str">
        <f>VLOOKUP(B28,StaffRegistry!A:B,2,FALSE())</f>
        <v>Philip Kaukonde</v>
      </c>
      <c r="D28" s="1" t="str">
        <f>VLOOKUP(B28,StaffRegistry!A:C,3,FALSE())</f>
        <v>A</v>
      </c>
      <c r="E28" s="1">
        <f>VLOOKUP(B28,IndividualSummary!A:F,6,FALSE())</f>
        <v>2653.2</v>
      </c>
      <c r="F28" s="1">
        <f>VLOOKUP(B28,IndividualSummary!A:H,8,FALSE())</f>
        <v>1326.6</v>
      </c>
    </row>
    <row r="29">
      <c r="A29" s="1">
        <v>15</v>
      </c>
      <c r="B29" s="1" t="str">
        <f>INDEX(IndividualSummary!A$2:A$16,MATCH(LARGE(IndividualSummary!F$2:F$16,A29),IndividualSummary!F$2:F$16,0))</f>
        <v>C05</v>
      </c>
      <c r="C29" s="1" t="str">
        <f>VLOOKUP(B29,StaffRegistry!A:B,2,FALSE())</f>
        <v>Watson Gondwe</v>
      </c>
      <c r="D29" s="1" t="str">
        <f>VLOOKUP(B29,StaffRegistry!A:C,3,FALSE())</f>
        <v>C</v>
      </c>
      <c r="E29" s="1">
        <f>VLOOKUP(B29,IndividualSummary!A:F,6,FALSE())</f>
        <v>0</v>
      </c>
      <c r="F29" s="1">
        <f>VLOOKUP(B29,IndividualSummary!A:H,8,FALSE())</f>
        <v>0</v>
      </c>
    </row>
  </sheetData>
  <pageMargins left="0.75" right="0.75" top="1" bottom="1" header="0.511811023622047" footer="0.511811023622047"/>
  <ignoredErrors>
    <ignoredError numberStoredAsText="1" sqref="A1:F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7"/>
  <sheetViews>
    <sheetView workbookViewId="0" rightToLeft="0"/>
  </sheetViews>
  <sheetData>
    <row r="1">
      <c r="A1" s="1" t="str">
        <v>HOW TO USE THIS WORKBOOK</v>
      </c>
    </row>
    <row r="3">
      <c r="A3" s="1" t="str">
        <v>WEEKLY DATA ENTRY</v>
      </c>
    </row>
    <row r="4">
      <c r="A4" s="1" t="str">
        <v>1.</v>
      </c>
      <c r="B4" s="1" t="str">
        <v>Go to the 'WeeklyInput' sheet.</v>
      </c>
    </row>
    <row r="5">
      <c r="A5" s="1" t="str">
        <v>2.</v>
      </c>
      <c r="B5" s="1" t="str">
        <v>Add a new block of 15 rows (5 per shift) for each new week.</v>
      </c>
    </row>
    <row r="6">
      <c r="A6" s="1" t="str">
        <v>3.</v>
      </c>
      <c r="B6" s="1" t="str">
        <v>Enter Week_Start and Week_End dates in YYYY-MM-DD format.</v>
      </c>
    </row>
    <row r="7">
      <c r="A7" s="1" t="str">
        <v>4.</v>
      </c>
      <c r="B7" s="1" t="str">
        <v>Enter Shift (A, B, or C), Attendant_ID (e.g. A01), Name, Role.</v>
      </c>
    </row>
    <row r="8">
      <c r="A8" s="1" t="str">
        <v>5.</v>
      </c>
      <c r="B8" s="1" t="str">
        <v>Enter Fuel_Sales_Litres in blue. Enter Lub_Qty separately.</v>
      </c>
    </row>
    <row r="9">
      <c r="A9" s="1" t="str">
        <v>6.</v>
      </c>
      <c r="B9" s="1" t="str">
        <v>Use Notes column for 'New', 'Absent', etc.</v>
      </c>
    </row>
    <row r="10">
      <c r="A10" s="1" t="str">
        <v>7.</v>
      </c>
      <c r="B10" s="1" t="str">
        <v>For nil sales, enter 0.</v>
      </c>
    </row>
    <row r="12">
      <c r="A12" s="1" t="str">
        <v>ADDING NEW STAFF</v>
      </c>
    </row>
    <row r="13">
      <c r="A13" s="1" t="str">
        <v>1.</v>
      </c>
      <c r="B13" s="1" t="str">
        <v>Go to 'StaffRegistry' and add a new row with a unique ID.</v>
      </c>
    </row>
    <row r="14">
      <c r="A14" s="1" t="str">
        <v>2.</v>
      </c>
      <c r="B14" s="1" t="str">
        <v>Then add a corresponding row in 'IndividualSummary' with the same ID.</v>
      </c>
    </row>
    <row r="16">
      <c r="A16" s="1" t="str">
        <v>SUMMARIES (auto-calculated)</v>
      </c>
    </row>
    <row r="17">
      <c r="A17" s="1" t="str">
        <v>-</v>
      </c>
      <c r="B17" s="1" t="str">
        <v>'IndividualSummary' shows each attendant's all-time stats.</v>
      </c>
    </row>
    <row r="18">
      <c r="A18" s="1" t="str">
        <v>-</v>
      </c>
      <c r="B18" s="1" t="str">
        <v>'ShiftSummary' shows each shift's all-time totals.</v>
      </c>
    </row>
    <row r="19">
      <c r="A19" s="1" t="str">
        <v>-</v>
      </c>
      <c r="B19" s="1" t="str">
        <v>'WeeklySummary' tracks week-over-week changes.</v>
      </c>
    </row>
    <row r="20">
      <c r="A20" s="1" t="str">
        <v>-</v>
      </c>
      <c r="B20" s="1" t="str">
        <v>'MonthlySummary' tracks month-over-month changes.</v>
      </c>
    </row>
    <row r="22">
      <c r="A22" s="1" t="str">
        <v>DASHBOARD INTEGRATION</v>
      </c>
    </row>
    <row r="23">
      <c r="A23" s="1" t="str">
        <v>-</v>
      </c>
      <c r="B23" s="1" t="str">
        <v>'DashboardData' sheet is pre-formatted for Power BI / Tableau.</v>
      </c>
    </row>
    <row r="24">
      <c r="A24" s="1" t="str">
        <v>-</v>
      </c>
      <c r="B24" s="1" t="str">
        <v>Connect your dashboard tool to the WeeklyInput sheet as the data source.</v>
      </c>
    </row>
    <row r="25">
      <c r="A25" s="1" t="str">
        <v>-</v>
      </c>
      <c r="B25" s="1" t="str">
        <v>Key dimensions: Week_Start, Shift, Attendant_ID, Attendant_Name.</v>
      </c>
    </row>
    <row r="26">
      <c r="A26" s="1" t="str">
        <v>-</v>
      </c>
      <c r="B26" s="1" t="str">
        <v>Key measures: Fuel_Sales_Litres, Lub_Qty.</v>
      </c>
    </row>
    <row r="27">
      <c r="A27" s="1" t="str">
        <v>-</v>
      </c>
      <c r="B27" s="1" t="str">
        <v>The flat table structure in WeeklyInput is ideal for pivot tables and BI tools.</v>
      </c>
    </row>
  </sheetData>
  <pageMargins left="0.75" right="0.75" top="1" bottom="1" header="0.511811023622047" footer="0.511811023622047"/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WeeklyInput</vt:lpstr>
      <vt:lpstr>StaffRegistry</vt:lpstr>
      <vt:lpstr>IndividualSummary</vt:lpstr>
      <vt:lpstr>ShiftSummary</vt:lpstr>
      <vt:lpstr>WeeklySummary</vt:lpstr>
      <vt:lpstr>MonthlySummary</vt:lpstr>
      <vt:lpstr>DashboardData</vt:lpstr>
      <vt:lpstr>HowToUse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2026-04-15T13:10:04Z</dcterms:created>
  <dcterms:modified xsi:type="dcterms:W3CDTF">2026-04-15T13:10:04Z</dcterms:modified>
  <cp:revision>0</cp:revision>
  <dc:creator>openpyxl</dc:creator>
  <dc:language>en-US</dc:language>
</cp:coreProperties>
</file>