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eeklyInput" sheetId="1" state="visible" r:id="rId3"/>
    <sheet name="StaffRegistry" sheetId="2" state="visible" r:id="rId4"/>
    <sheet name="IndividualSummary" sheetId="3" state="visible" r:id="rId5"/>
    <sheet name="ShiftSummary" sheetId="4" state="visible" r:id="rId6"/>
    <sheet name="WeeklySummary" sheetId="5" state="visible" r:id="rId7"/>
    <sheet name="MonthlySummary" sheetId="6" state="visible" r:id="rId8"/>
    <sheet name="DashboardData" sheetId="7" state="visible" r:id="rId9"/>
    <sheet name="HowToUse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<sst xmlns="http://schemas.openxmlformats.org/spreadsheetml/2006/main" count="411" uniqueCount="127">
  <si>
    <t xml:space="preserve">CAR WASH SALES TRACKER</t>
  </si>
  <si>
    <t xml:space="preserve">Enter data in blue. Each row = 1 attendant per week.</t>
  </si>
  <si>
    <t xml:space="preserve">Week_Start</t>
  </si>
  <si>
    <t xml:space="preserve">Week_End</t>
  </si>
  <si>
    <t xml:space="preserve">Shift</t>
  </si>
  <si>
    <t xml:space="preserve">Attendant_ID</t>
  </si>
  <si>
    <t xml:space="preserve">Attendant_Name</t>
  </si>
  <si>
    <t xml:space="preserve">Role</t>
  </si>
  <si>
    <t xml:space="preserve">Fuel_Sales_Litres</t>
  </si>
  <si>
    <t xml:space="preserve">Lub_Qty</t>
  </si>
  <si>
    <t xml:space="preserve">Notes</t>
  </si>
  <si>
    <t xml:space="preserve">2026-03-30</t>
  </si>
  <si>
    <t xml:space="preserve">2026-04-05</t>
  </si>
  <si>
    <t xml:space="preserve">A</t>
  </si>
  <si>
    <t xml:space="preserve">A01</t>
  </si>
  <si>
    <t xml:space="preserve">Chikondi Chirwa</t>
  </si>
  <si>
    <t xml:space="preserve">Leader</t>
  </si>
  <si>
    <t xml:space="preserve">A02</t>
  </si>
  <si>
    <t xml:space="preserve">Philip Kaukonde</t>
  </si>
  <si>
    <t xml:space="preserve">Attendant</t>
  </si>
  <si>
    <t xml:space="preserve">A03</t>
  </si>
  <si>
    <t xml:space="preserve">Jackson Issah</t>
  </si>
  <si>
    <t xml:space="preserve">A04</t>
  </si>
  <si>
    <t xml:space="preserve">Tiyamike Mwale</t>
  </si>
  <si>
    <t xml:space="preserve">A05</t>
  </si>
  <si>
    <t xml:space="preserve">Cyrus Nyirenda</t>
  </si>
  <si>
    <t xml:space="preserve">B</t>
  </si>
  <si>
    <t xml:space="preserve">B01</t>
  </si>
  <si>
    <t xml:space="preserve">Moffat Nkhoma</t>
  </si>
  <si>
    <t xml:space="preserve">B02</t>
  </si>
  <si>
    <t xml:space="preserve">Emmanuel Chinseu</t>
  </si>
  <si>
    <t xml:space="preserve">B03</t>
  </si>
  <si>
    <t xml:space="preserve">Emmanuel Makoko</t>
  </si>
  <si>
    <t xml:space="preserve">B04</t>
  </si>
  <si>
    <t xml:space="preserve">Flora Phiri</t>
  </si>
  <si>
    <t xml:space="preserve">B05</t>
  </si>
  <si>
    <t xml:space="preserve">Madalo Mchenga</t>
  </si>
  <si>
    <t xml:space="preserve">C</t>
  </si>
  <si>
    <t xml:space="preserve">C01</t>
  </si>
  <si>
    <t xml:space="preserve">Pilirani Kulinj</t>
  </si>
  <si>
    <t xml:space="preserve">C02</t>
  </si>
  <si>
    <t xml:space="preserve">Shadreck Bamusi</t>
  </si>
  <si>
    <t xml:space="preserve">C03</t>
  </si>
  <si>
    <t xml:space="preserve">Mike Siyasiya</t>
  </si>
  <si>
    <t xml:space="preserve">C04</t>
  </si>
  <si>
    <t xml:space="preserve">Austin Chakanda</t>
  </si>
  <si>
    <t xml:space="preserve">C05</t>
  </si>
  <si>
    <t xml:space="preserve">Watson Gondwe</t>
  </si>
  <si>
    <t xml:space="preserve">New</t>
  </si>
  <si>
    <t xml:space="preserve">2026-04-06</t>
  </si>
  <si>
    <t xml:space="preserve">2026-04-12</t>
  </si>
  <si>
    <t xml:space="preserve">Start_Date</t>
  </si>
  <si>
    <t xml:space="preserve">Status</t>
  </si>
  <si>
    <t xml:space="preserve">2025-01-01</t>
  </si>
  <si>
    <t xml:space="preserve">Active</t>
  </si>
  <si>
    <t xml:space="preserve">Total_Weeks_Worked</t>
  </si>
  <si>
    <t xml:space="preserve">All_Time_Fuel_Sales</t>
  </si>
  <si>
    <t xml:space="preserve">All_Time_Lub_Qty</t>
  </si>
  <si>
    <t xml:space="preserve">Avg_Weekly_Fuel_Sales</t>
  </si>
  <si>
    <t xml:space="preserve">Best_Week_Fuel</t>
  </si>
  <si>
    <t xml:space="preserve">Worst_Week_Fuel</t>
  </si>
  <si>
    <t xml:space="preserve">Total_Fuel_Sales</t>
  </si>
  <si>
    <t xml:space="preserve">Total_Lub_Qty</t>
  </si>
  <si>
    <t xml:space="preserve">Avg_Weekly_Shift_Sales</t>
  </si>
  <si>
    <t xml:space="preserve">Total_Weeks</t>
  </si>
  <si>
    <t xml:space="preserve">Best_Week_Sales</t>
  </si>
  <si>
    <t xml:space="preserve">Worst_Week_Sales</t>
  </si>
  <si>
    <t xml:space="preserve">Num_Attendants</t>
  </si>
  <si>
    <t xml:space="preserve">ALL SHIFTS</t>
  </si>
  <si>
    <t xml:space="preserve">Shift_A_Sales</t>
  </si>
  <si>
    <t xml:space="preserve">Shift_B_Sales</t>
  </si>
  <si>
    <t xml:space="preserve">Shift_C_Sales</t>
  </si>
  <si>
    <t xml:space="preserve">Total_Weekly_Sales</t>
  </si>
  <si>
    <t xml:space="preserve">Total_Lub</t>
  </si>
  <si>
    <t xml:space="preserve">WoW_Change</t>
  </si>
  <si>
    <t xml:space="preserve">WoW_%</t>
  </si>
  <si>
    <t xml:space="preserve">-</t>
  </si>
  <si>
    <t xml:space="preserve">Month</t>
  </si>
  <si>
    <t xml:space="preserve">Year</t>
  </si>
  <si>
    <t xml:space="preserve">Total_Monthly_Sales</t>
  </si>
  <si>
    <t xml:space="preserve">MoM_Change</t>
  </si>
  <si>
    <t xml:space="preserve">MoM_%</t>
  </si>
  <si>
    <t xml:space="preserve">March</t>
  </si>
  <si>
    <t xml:space="preserve">April</t>
  </si>
  <si>
    <t xml:space="preserve">DASHBOARD DATA LAYER</t>
  </si>
  <si>
    <t xml:space="preserve">This sheet provides pre-aggregated data for dashboard tools (Power BI, Tableau, Excel dashboard).</t>
  </si>
  <si>
    <t xml:space="preserve">KEY METRICS</t>
  </si>
  <si>
    <t xml:space="preserve">All-Time Total Fuel Sales</t>
  </si>
  <si>
    <t xml:space="preserve">All-Time Total Lub Qty</t>
  </si>
  <si>
    <t xml:space="preserve">Total Weeks Recorded</t>
  </si>
  <si>
    <t xml:space="preserve">Grand Average Weekly Sales</t>
  </si>
  <si>
    <t xml:space="preserve">Best Individual Week (All-Time)</t>
  </si>
  <si>
    <t xml:space="preserve">Active Attendants</t>
  </si>
  <si>
    <t xml:space="preserve">ATTENDANT RANKINGS (by All-Time Sales)</t>
  </si>
  <si>
    <t xml:space="preserve">Rank</t>
  </si>
  <si>
    <t xml:space="preserve">All_Time_Sales</t>
  </si>
  <si>
    <t xml:space="preserve">Avg_Weekly</t>
  </si>
  <si>
    <t xml:space="preserve">HOW TO USE THIS WORKBOOK</t>
  </si>
  <si>
    <t xml:space="preserve">WEEKLY DATA ENTRY</t>
  </si>
  <si>
    <t xml:space="preserve">1.</t>
  </si>
  <si>
    <t xml:space="preserve">Go to the 'WeeklyInput' sheet.</t>
  </si>
  <si>
    <t xml:space="preserve">2.</t>
  </si>
  <si>
    <t xml:space="preserve">Add a new block of 15 rows (5 per shift) for each new week.</t>
  </si>
  <si>
    <t xml:space="preserve">3.</t>
  </si>
  <si>
    <t xml:space="preserve">Enter Week_Start and Week_End dates in YYYY-MM-DD format.</t>
  </si>
  <si>
    <t xml:space="preserve">4.</t>
  </si>
  <si>
    <t xml:space="preserve">Enter Shift (A, B, or C), Attendant_ID (e.g. A01), Name, Role.</t>
  </si>
  <si>
    <t xml:space="preserve">5.</t>
  </si>
  <si>
    <t xml:space="preserve">Enter Fuel_Sales_Litres in blue. Enter Lub_Qty separately.</t>
  </si>
  <si>
    <t xml:space="preserve">6.</t>
  </si>
  <si>
    <t xml:space="preserve">Use Notes column for 'New', 'Absent', etc.</t>
  </si>
  <si>
    <t xml:space="preserve">7.</t>
  </si>
  <si>
    <t xml:space="preserve">For nil sales, enter 0.</t>
  </si>
  <si>
    <t xml:space="preserve">ADDING NEW STAFF</t>
  </si>
  <si>
    <t xml:space="preserve">Go to 'StaffRegistry' and add a new row with a unique ID.</t>
  </si>
  <si>
    <t xml:space="preserve">Then add a corresponding row in 'IndividualSummary' with the same ID.</t>
  </si>
  <si>
    <t xml:space="preserve">SUMMARIES (auto-calculated)</t>
  </si>
  <si>
    <t xml:space="preserve">'IndividualSummary' shows each attendant's all-time stats.</t>
  </si>
  <si>
    <t xml:space="preserve">'ShiftSummary' shows each shift's all-time totals.</t>
  </si>
  <si>
    <t xml:space="preserve">'WeeklySummary' tracks week-over-week changes.</t>
  </si>
  <si>
    <t xml:space="preserve">'MonthlySummary' tracks month-over-month changes.</t>
  </si>
  <si>
    <t xml:space="preserve">DASHBOARD INTEGRATION</t>
  </si>
  <si>
    <t xml:space="preserve">'DashboardData' sheet is pre-formatted for Power BI / Tableau.</t>
  </si>
  <si>
    <t xml:space="preserve">Connect your dashboard tool to the WeeklyInput sheet as the data source.</t>
  </si>
  <si>
    <t xml:space="preserve">Key dimensions: Week_Start, Shift, Attendant_ID, Attendant_Name.</t>
  </si>
  <si>
    <t xml:space="preserve">Key measures: Fuel_Sales_Litres, Lub_Qty.</t>
  </si>
  <si>
    <t xml:space="preserve">The flat table structure in WeeklyInput is ideal for pivot tables and BI tools.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</si>
</sst>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0.0"/>
    <numFmt numFmtId="167" formatCode="General"/>
    <numFmt numFmtId="168" formatCode="0.0%"/>
    <numFmt numFmtId="169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b val="true"/>
      <sz val="12"/>
      <color rgb="FF1F4E79"/>
      <name val="Arial"/>
      <family val="0"/>
      <charset val="1"/>
    </font>
    <font>
      <b val="true"/>
      <sz val="1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6E4F0"/>
        <bgColor rgb="FFD9D9D9"/>
      </patternFill>
    </fill>
    <fill>
      <patternFill patternType="solid">
        <fgColor rgb="FFE2EFDA"/>
        <bgColor rgb="FFD6E4F0"/>
      </patternFill>
    </fill>
    <fill>
      <patternFill patternType="solid">
        <fgColor rgb="FFFCE4D6"/>
        <bgColor rgb="FFE2EFDA"/>
      </patternFill>
    </fill>
    <fill>
      <patternFill patternType="solid">
        <fgColor rgb="FFD9D9D9"/>
        <bgColor rgb="FFD6E4F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3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4C6E7"/>
      <rgbColor rgb="FF808080"/>
      <rgbColor rgb="FF9999FF"/>
      <rgbColor rgb="FF7030A0"/>
      <rgbColor rgb="FFFCE4D6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BF8F00"/>
      <rgbColor rgb="FFC55A11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I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12"/>
    <col collapsed="false" customWidth="true" hidden="false" outlineLevel="0" max="7" min="7" style="0" width="18"/>
    <col collapsed="false" customWidth="true" hidden="false" outlineLevel="0" max="8" min="8" style="0" width="10"/>
    <col collapsed="false" customWidth="true" hidden="false" outlineLevel="0" max="9" min="9" style="0" width="20"/>
  </cols>
  <sheetData>
    <row r="1" customFormat="false" ht="17.35" hidden="false" customHeight="false" outlineLevel="0" collapsed="false">
      <c r="A1" s="1" t="s">
        <v>0</v>
      </c>
      <c r="E1" s="2" t="s">
        <v>1</v>
      </c>
    </row>
    <row r="3" customFormat="false" ht="26.85" hidden="false" customHeight="fals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</row>
    <row r="4" customFormat="false" ht="15" hidden="false" customHeight="false" outlineLevel="0" collapsed="false">
      <c r="A4" s="4" t="s">
        <v>11</v>
      </c>
      <c r="B4" s="4" t="s">
        <v>12</v>
      </c>
      <c r="C4" s="4" t="s">
        <v>13</v>
      </c>
      <c r="D4" s="4" t="s">
        <v>14</v>
      </c>
      <c r="E4" s="4" t="s">
        <v>15</v>
      </c>
      <c r="F4" s="4" t="s">
        <v>16</v>
      </c>
      <c r="G4" s="5" t="n">
        <v>6267.74</v>
      </c>
      <c r="H4" s="6" t="n">
        <v>0</v>
      </c>
      <c r="I4" s="7"/>
    </row>
    <row r="5" customFormat="false" ht="15" hidden="false" customHeight="false" outlineLevel="0" collapsed="false">
      <c r="A5" s="4" t="s">
        <v>11</v>
      </c>
      <c r="B5" s="4" t="s">
        <v>12</v>
      </c>
      <c r="C5" s="4" t="s">
        <v>13</v>
      </c>
      <c r="D5" s="4" t="s">
        <v>17</v>
      </c>
      <c r="E5" s="4" t="s">
        <v>18</v>
      </c>
      <c r="F5" s="4" t="s">
        <v>19</v>
      </c>
      <c r="G5" s="5" t="n">
        <v>1527.9</v>
      </c>
      <c r="H5" s="6" t="n">
        <v>105</v>
      </c>
      <c r="I5" s="7"/>
    </row>
    <row r="6" customFormat="false" ht="15" hidden="false" customHeight="false" outlineLevel="0" collapsed="false">
      <c r="A6" s="4" t="s">
        <v>11</v>
      </c>
      <c r="B6" s="4" t="s">
        <v>12</v>
      </c>
      <c r="C6" s="4" t="s">
        <v>13</v>
      </c>
      <c r="D6" s="4" t="s">
        <v>20</v>
      </c>
      <c r="E6" s="4" t="s">
        <v>21</v>
      </c>
      <c r="F6" s="4" t="s">
        <v>19</v>
      </c>
      <c r="G6" s="5" t="n">
        <v>2745.44</v>
      </c>
      <c r="H6" s="6" t="n">
        <v>11</v>
      </c>
      <c r="I6" s="7"/>
    </row>
    <row r="7" customFormat="false" ht="15" hidden="false" customHeight="false" outlineLevel="0" collapsed="false">
      <c r="A7" s="4" t="s">
        <v>11</v>
      </c>
      <c r="B7" s="4" t="s">
        <v>12</v>
      </c>
      <c r="C7" s="4" t="s">
        <v>13</v>
      </c>
      <c r="D7" s="4" t="s">
        <v>22</v>
      </c>
      <c r="E7" s="4" t="s">
        <v>23</v>
      </c>
      <c r="F7" s="4" t="s">
        <v>19</v>
      </c>
      <c r="G7" s="5" t="n">
        <v>3511.55</v>
      </c>
      <c r="H7" s="6" t="n">
        <v>6.5</v>
      </c>
      <c r="I7" s="7"/>
    </row>
    <row r="8" customFormat="false" ht="15" hidden="false" customHeight="false" outlineLevel="0" collapsed="false">
      <c r="A8" s="4" t="s">
        <v>11</v>
      </c>
      <c r="B8" s="4" t="s">
        <v>12</v>
      </c>
      <c r="C8" s="4" t="s">
        <v>13</v>
      </c>
      <c r="D8" s="4" t="s">
        <v>24</v>
      </c>
      <c r="E8" s="4" t="s">
        <v>25</v>
      </c>
      <c r="F8" s="4" t="s">
        <v>19</v>
      </c>
      <c r="G8" s="5" t="n">
        <v>4083.01</v>
      </c>
      <c r="H8" s="6" t="n">
        <v>0</v>
      </c>
      <c r="I8" s="7"/>
    </row>
    <row r="9" customFormat="false" ht="15" hidden="false" customHeight="false" outlineLevel="0" collapsed="false">
      <c r="A9" s="8" t="s">
        <v>11</v>
      </c>
      <c r="B9" s="8" t="s">
        <v>12</v>
      </c>
      <c r="C9" s="8" t="s">
        <v>26</v>
      </c>
      <c r="D9" s="8" t="s">
        <v>27</v>
      </c>
      <c r="E9" s="8" t="s">
        <v>28</v>
      </c>
      <c r="F9" s="8" t="s">
        <v>16</v>
      </c>
      <c r="G9" s="9" t="n">
        <v>1177.23</v>
      </c>
      <c r="H9" s="10" t="n">
        <v>11.5</v>
      </c>
      <c r="I9" s="11"/>
    </row>
    <row r="10" customFormat="false" ht="15" hidden="false" customHeight="false" outlineLevel="0" collapsed="false">
      <c r="A10" s="8" t="s">
        <v>11</v>
      </c>
      <c r="B10" s="8" t="s">
        <v>12</v>
      </c>
      <c r="C10" s="8" t="s">
        <v>26</v>
      </c>
      <c r="D10" s="8" t="s">
        <v>29</v>
      </c>
      <c r="E10" s="8" t="s">
        <v>30</v>
      </c>
      <c r="F10" s="8" t="s">
        <v>19</v>
      </c>
      <c r="G10" s="9" t="n">
        <v>6662.63</v>
      </c>
      <c r="H10" s="10" t="n">
        <v>0</v>
      </c>
      <c r="I10" s="11"/>
    </row>
    <row r="11" customFormat="false" ht="15" hidden="false" customHeight="false" outlineLevel="0" collapsed="false">
      <c r="A11" s="8" t="s">
        <v>11</v>
      </c>
      <c r="B11" s="8" t="s">
        <v>12</v>
      </c>
      <c r="C11" s="8" t="s">
        <v>26</v>
      </c>
      <c r="D11" s="8" t="s">
        <v>31</v>
      </c>
      <c r="E11" s="8" t="s">
        <v>32</v>
      </c>
      <c r="F11" s="8" t="s">
        <v>19</v>
      </c>
      <c r="G11" s="9" t="n">
        <v>2440.4</v>
      </c>
      <c r="H11" s="10" t="n">
        <v>0</v>
      </c>
      <c r="I11" s="11"/>
    </row>
    <row r="12" customFormat="false" ht="15" hidden="false" customHeight="false" outlineLevel="0" collapsed="false">
      <c r="A12" s="8" t="s">
        <v>11</v>
      </c>
      <c r="B12" s="8" t="s">
        <v>12</v>
      </c>
      <c r="C12" s="8" t="s">
        <v>26</v>
      </c>
      <c r="D12" s="8" t="s">
        <v>33</v>
      </c>
      <c r="E12" s="8" t="s">
        <v>34</v>
      </c>
      <c r="F12" s="8" t="s">
        <v>19</v>
      </c>
      <c r="G12" s="9" t="n">
        <v>2998.99</v>
      </c>
      <c r="H12" s="10" t="n">
        <v>5.1</v>
      </c>
      <c r="I12" s="11"/>
    </row>
    <row r="13" customFormat="false" ht="15" hidden="false" customHeight="false" outlineLevel="0" collapsed="false">
      <c r="A13" s="8" t="s">
        <v>11</v>
      </c>
      <c r="B13" s="8" t="s">
        <v>12</v>
      </c>
      <c r="C13" s="8" t="s">
        <v>26</v>
      </c>
      <c r="D13" s="8" t="s">
        <v>35</v>
      </c>
      <c r="E13" s="8" t="s">
        <v>36</v>
      </c>
      <c r="F13" s="8" t="s">
        <v>19</v>
      </c>
      <c r="G13" s="9" t="n">
        <v>2406.75</v>
      </c>
      <c r="H13" s="10" t="n">
        <v>0</v>
      </c>
      <c r="I13" s="11"/>
    </row>
    <row r="14" customFormat="false" ht="15" hidden="false" customHeight="false" outlineLevel="0" collapsed="false">
      <c r="A14" s="12" t="s">
        <v>11</v>
      </c>
      <c r="B14" s="12" t="s">
        <v>12</v>
      </c>
      <c r="C14" s="12" t="s">
        <v>37</v>
      </c>
      <c r="D14" s="12" t="s">
        <v>38</v>
      </c>
      <c r="E14" s="12" t="s">
        <v>39</v>
      </c>
      <c r="F14" s="12" t="s">
        <v>16</v>
      </c>
      <c r="G14" s="13" t="n">
        <v>3261.42</v>
      </c>
      <c r="H14" s="14" t="n">
        <v>0</v>
      </c>
      <c r="I14" s="15"/>
    </row>
    <row r="15" customFormat="false" ht="15" hidden="false" customHeight="false" outlineLevel="0" collapsed="false">
      <c r="A15" s="12" t="s">
        <v>11</v>
      </c>
      <c r="B15" s="12" t="s">
        <v>12</v>
      </c>
      <c r="C15" s="12" t="s">
        <v>37</v>
      </c>
      <c r="D15" s="12" t="s">
        <v>40</v>
      </c>
      <c r="E15" s="12" t="s">
        <v>41</v>
      </c>
      <c r="F15" s="12" t="s">
        <v>19</v>
      </c>
      <c r="G15" s="13" t="n">
        <v>4580.62</v>
      </c>
      <c r="H15" s="14" t="n">
        <v>0</v>
      </c>
      <c r="I15" s="15"/>
    </row>
    <row r="16" customFormat="false" ht="15" hidden="false" customHeight="false" outlineLevel="0" collapsed="false">
      <c r="A16" s="12" t="s">
        <v>11</v>
      </c>
      <c r="B16" s="12" t="s">
        <v>12</v>
      </c>
      <c r="C16" s="12" t="s">
        <v>37</v>
      </c>
      <c r="D16" s="12" t="s">
        <v>42</v>
      </c>
      <c r="E16" s="12" t="s">
        <v>43</v>
      </c>
      <c r="F16" s="12" t="s">
        <v>19</v>
      </c>
      <c r="G16" s="13" t="n">
        <v>4421.17</v>
      </c>
      <c r="H16" s="14" t="n">
        <v>0</v>
      </c>
      <c r="I16" s="15"/>
    </row>
    <row r="17" customFormat="false" ht="15" hidden="false" customHeight="false" outlineLevel="0" collapsed="false">
      <c r="A17" s="12" t="s">
        <v>11</v>
      </c>
      <c r="B17" s="12" t="s">
        <v>12</v>
      </c>
      <c r="C17" s="12" t="s">
        <v>37</v>
      </c>
      <c r="D17" s="12" t="s">
        <v>44</v>
      </c>
      <c r="E17" s="12" t="s">
        <v>45</v>
      </c>
      <c r="F17" s="12" t="s">
        <v>19</v>
      </c>
      <c r="G17" s="13" t="n">
        <v>3628.87</v>
      </c>
      <c r="H17" s="14" t="n">
        <v>0</v>
      </c>
      <c r="I17" s="15"/>
    </row>
    <row r="18" customFormat="false" ht="15" hidden="false" customHeight="false" outlineLevel="0" collapsed="false">
      <c r="A18" s="12" t="s">
        <v>11</v>
      </c>
      <c r="B18" s="12" t="s">
        <v>12</v>
      </c>
      <c r="C18" s="12" t="s">
        <v>37</v>
      </c>
      <c r="D18" s="12" t="s">
        <v>46</v>
      </c>
      <c r="E18" s="12" t="s">
        <v>47</v>
      </c>
      <c r="F18" s="12" t="s">
        <v>19</v>
      </c>
      <c r="G18" s="13" t="n">
        <v>0</v>
      </c>
      <c r="H18" s="14" t="n">
        <v>0</v>
      </c>
      <c r="I18" s="15" t="s">
        <v>48</v>
      </c>
    </row>
    <row r="19" customFormat="false" ht="15" hidden="false" customHeight="false" outlineLevel="0" collapsed="false">
      <c r="A19" s="4" t="s">
        <v>49</v>
      </c>
      <c r="B19" s="4" t="s">
        <v>50</v>
      </c>
      <c r="C19" s="4" t="s">
        <v>13</v>
      </c>
      <c r="D19" s="4" t="s">
        <v>14</v>
      </c>
      <c r="E19" s="4" t="s">
        <v>15</v>
      </c>
      <c r="F19" s="4" t="s">
        <v>16</v>
      </c>
      <c r="G19" s="5" t="n">
        <v>1913.78</v>
      </c>
      <c r="H19" s="6" t="n">
        <v>3</v>
      </c>
      <c r="I19" s="7"/>
    </row>
    <row r="20" customFormat="false" ht="15" hidden="false" customHeight="false" outlineLevel="0" collapsed="false">
      <c r="A20" s="4" t="s">
        <v>49</v>
      </c>
      <c r="B20" s="4" t="s">
        <v>50</v>
      </c>
      <c r="C20" s="4" t="s">
        <v>13</v>
      </c>
      <c r="D20" s="4" t="s">
        <v>17</v>
      </c>
      <c r="E20" s="4" t="s">
        <v>18</v>
      </c>
      <c r="F20" s="4" t="s">
        <v>19</v>
      </c>
      <c r="G20" s="5" t="n">
        <v>1125.3</v>
      </c>
      <c r="H20" s="6" t="n">
        <v>0</v>
      </c>
      <c r="I20" s="7"/>
    </row>
    <row r="21" customFormat="false" ht="15" hidden="false" customHeight="false" outlineLevel="0" collapsed="false">
      <c r="A21" s="4" t="s">
        <v>49</v>
      </c>
      <c r="B21" s="4" t="s">
        <v>50</v>
      </c>
      <c r="C21" s="4" t="s">
        <v>13</v>
      </c>
      <c r="D21" s="4" t="s">
        <v>20</v>
      </c>
      <c r="E21" s="4" t="s">
        <v>21</v>
      </c>
      <c r="F21" s="4" t="s">
        <v>19</v>
      </c>
      <c r="G21" s="5" t="n">
        <v>2824.3</v>
      </c>
      <c r="H21" s="6" t="n">
        <v>3</v>
      </c>
      <c r="I21" s="7"/>
    </row>
    <row r="22" customFormat="false" ht="15" hidden="false" customHeight="false" outlineLevel="0" collapsed="false">
      <c r="A22" s="4" t="s">
        <v>49</v>
      </c>
      <c r="B22" s="4" t="s">
        <v>50</v>
      </c>
      <c r="C22" s="4" t="s">
        <v>13</v>
      </c>
      <c r="D22" s="4" t="s">
        <v>22</v>
      </c>
      <c r="E22" s="4" t="s">
        <v>23</v>
      </c>
      <c r="F22" s="4" t="s">
        <v>19</v>
      </c>
      <c r="G22" s="5" t="n">
        <v>3316.12</v>
      </c>
      <c r="H22" s="6" t="n">
        <v>1</v>
      </c>
      <c r="I22" s="7"/>
    </row>
    <row r="23" customFormat="false" ht="15" hidden="false" customHeight="false" outlineLevel="0" collapsed="false">
      <c r="A23" s="4" t="s">
        <v>49</v>
      </c>
      <c r="B23" s="4" t="s">
        <v>50</v>
      </c>
      <c r="C23" s="4" t="s">
        <v>13</v>
      </c>
      <c r="D23" s="4" t="s">
        <v>24</v>
      </c>
      <c r="E23" s="4" t="s">
        <v>25</v>
      </c>
      <c r="F23" s="4" t="s">
        <v>19</v>
      </c>
      <c r="G23" s="5" t="n">
        <v>2804.35</v>
      </c>
      <c r="H23" s="6" t="n">
        <v>0</v>
      </c>
      <c r="I23" s="7"/>
    </row>
    <row r="24" customFormat="false" ht="15" hidden="false" customHeight="false" outlineLevel="0" collapsed="false">
      <c r="A24" s="8" t="s">
        <v>49</v>
      </c>
      <c r="B24" s="8" t="s">
        <v>50</v>
      </c>
      <c r="C24" s="8" t="s">
        <v>26</v>
      </c>
      <c r="D24" s="8" t="s">
        <v>27</v>
      </c>
      <c r="E24" s="8" t="s">
        <v>28</v>
      </c>
      <c r="F24" s="8" t="s">
        <v>16</v>
      </c>
      <c r="G24" s="9" t="n">
        <v>2884.35</v>
      </c>
      <c r="H24" s="10" t="n">
        <v>0</v>
      </c>
      <c r="I24" s="11"/>
    </row>
    <row r="25" customFormat="false" ht="15" hidden="false" customHeight="false" outlineLevel="0" collapsed="false">
      <c r="A25" s="8" t="s">
        <v>49</v>
      </c>
      <c r="B25" s="8" t="s">
        <v>50</v>
      </c>
      <c r="C25" s="8" t="s">
        <v>26</v>
      </c>
      <c r="D25" s="8" t="s">
        <v>29</v>
      </c>
      <c r="E25" s="8" t="s">
        <v>30</v>
      </c>
      <c r="F25" s="8" t="s">
        <v>19</v>
      </c>
      <c r="G25" s="9" t="n">
        <v>2287.73</v>
      </c>
      <c r="H25" s="10" t="n">
        <v>0</v>
      </c>
      <c r="I25" s="11"/>
    </row>
    <row r="26" customFormat="false" ht="15" hidden="false" customHeight="false" outlineLevel="0" collapsed="false">
      <c r="A26" s="8" t="s">
        <v>49</v>
      </c>
      <c r="B26" s="8" t="s">
        <v>50</v>
      </c>
      <c r="C26" s="8" t="s">
        <v>26</v>
      </c>
      <c r="D26" s="8" t="s">
        <v>31</v>
      </c>
      <c r="E26" s="8" t="s">
        <v>32</v>
      </c>
      <c r="F26" s="8" t="s">
        <v>19</v>
      </c>
      <c r="G26" s="9" t="n">
        <v>5316.27</v>
      </c>
      <c r="H26" s="10" t="n">
        <v>0</v>
      </c>
      <c r="I26" s="11"/>
    </row>
    <row r="27" customFormat="false" ht="15" hidden="false" customHeight="false" outlineLevel="0" collapsed="false">
      <c r="A27" s="8" t="s">
        <v>49</v>
      </c>
      <c r="B27" s="8" t="s">
        <v>50</v>
      </c>
      <c r="C27" s="8" t="s">
        <v>26</v>
      </c>
      <c r="D27" s="8" t="s">
        <v>33</v>
      </c>
      <c r="E27" s="8" t="s">
        <v>34</v>
      </c>
      <c r="F27" s="8" t="s">
        <v>19</v>
      </c>
      <c r="G27" s="9" t="n">
        <v>2050.85</v>
      </c>
      <c r="H27" s="10" t="n">
        <v>0</v>
      </c>
      <c r="I27" s="11"/>
    </row>
    <row r="28" customFormat="false" ht="15" hidden="false" customHeight="false" outlineLevel="0" collapsed="false">
      <c r="A28" s="8" t="s">
        <v>49</v>
      </c>
      <c r="B28" s="8" t="s">
        <v>50</v>
      </c>
      <c r="C28" s="8" t="s">
        <v>26</v>
      </c>
      <c r="D28" s="8" t="s">
        <v>35</v>
      </c>
      <c r="E28" s="8" t="s">
        <v>36</v>
      </c>
      <c r="F28" s="8" t="s">
        <v>19</v>
      </c>
      <c r="G28" s="9" t="n">
        <v>2893.83</v>
      </c>
      <c r="H28" s="10" t="n">
        <v>0</v>
      </c>
      <c r="I28" s="11"/>
    </row>
    <row r="29" customFormat="false" ht="15" hidden="false" customHeight="false" outlineLevel="0" collapsed="false">
      <c r="A29" s="12" t="s">
        <v>49</v>
      </c>
      <c r="B29" s="12" t="s">
        <v>50</v>
      </c>
      <c r="C29" s="12" t="s">
        <v>37</v>
      </c>
      <c r="D29" s="12" t="s">
        <v>38</v>
      </c>
      <c r="E29" s="12" t="s">
        <v>39</v>
      </c>
      <c r="F29" s="12" t="s">
        <v>16</v>
      </c>
      <c r="G29" s="13" t="n">
        <v>3241.53</v>
      </c>
      <c r="H29" s="14" t="n">
        <v>0</v>
      </c>
      <c r="I29" s="15"/>
    </row>
    <row r="30" customFormat="false" ht="15" hidden="false" customHeight="false" outlineLevel="0" collapsed="false">
      <c r="A30" s="12" t="s">
        <v>49</v>
      </c>
      <c r="B30" s="12" t="s">
        <v>50</v>
      </c>
      <c r="C30" s="12" t="s">
        <v>37</v>
      </c>
      <c r="D30" s="12" t="s">
        <v>40</v>
      </c>
      <c r="E30" s="12" t="s">
        <v>41</v>
      </c>
      <c r="F30" s="12" t="s">
        <v>19</v>
      </c>
      <c r="G30" s="13" t="n">
        <v>3919.42</v>
      </c>
      <c r="H30" s="14" t="n">
        <v>0</v>
      </c>
      <c r="I30" s="15"/>
    </row>
    <row r="31" customFormat="false" ht="15" hidden="false" customHeight="false" outlineLevel="0" collapsed="false">
      <c r="A31" s="12" t="s">
        <v>49</v>
      </c>
      <c r="B31" s="12" t="s">
        <v>50</v>
      </c>
      <c r="C31" s="12" t="s">
        <v>37</v>
      </c>
      <c r="D31" s="12" t="s">
        <v>42</v>
      </c>
      <c r="E31" s="12" t="s">
        <v>43</v>
      </c>
      <c r="F31" s="12" t="s">
        <v>19</v>
      </c>
      <c r="G31" s="13" t="n">
        <v>3494.88</v>
      </c>
      <c r="H31" s="14" t="n">
        <v>0</v>
      </c>
      <c r="I31" s="15"/>
    </row>
    <row r="32" customFormat="false" ht="15" hidden="false" customHeight="false" outlineLevel="0" collapsed="false">
      <c r="A32" s="12" t="s">
        <v>49</v>
      </c>
      <c r="B32" s="12" t="s">
        <v>50</v>
      </c>
      <c r="C32" s="12" t="s">
        <v>37</v>
      </c>
      <c r="D32" s="12" t="s">
        <v>44</v>
      </c>
      <c r="E32" s="12" t="s">
        <v>45</v>
      </c>
      <c r="F32" s="12" t="s">
        <v>19</v>
      </c>
      <c r="G32" s="13" t="n">
        <v>4794.7</v>
      </c>
      <c r="H32" s="14" t="n">
        <v>0</v>
      </c>
      <c r="I32" s="15"/>
    </row>
    <row r="33" customFormat="false" ht="15" hidden="false" customHeight="false" outlineLevel="0" collapsed="false">
      <c r="A33" s="12" t="s">
        <v>49</v>
      </c>
      <c r="B33" s="12" t="s">
        <v>50</v>
      </c>
      <c r="C33" s="12" t="s">
        <v>37</v>
      </c>
      <c r="D33" s="12" t="s">
        <v>46</v>
      </c>
      <c r="E33" s="12" t="s">
        <v>47</v>
      </c>
      <c r="F33" s="12" t="s">
        <v>19</v>
      </c>
      <c r="G33" s="13" t="n">
        <v>0</v>
      </c>
      <c r="H33" s="14" t="n">
        <v>0</v>
      </c>
      <c r="I33" s="15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16" t="s">
        <v>5</v>
      </c>
      <c r="B1" s="16" t="s">
        <v>6</v>
      </c>
      <c r="C1" s="16" t="s">
        <v>4</v>
      </c>
      <c r="D1" s="16" t="s">
        <v>7</v>
      </c>
      <c r="E1" s="16" t="s">
        <v>51</v>
      </c>
      <c r="F1" s="16" t="s">
        <v>52</v>
      </c>
    </row>
    <row r="2" customFormat="false" ht="15" hidden="false" customHeight="false" outlineLevel="0" collapsed="false">
      <c r="A2" s="17" t="s">
        <v>14</v>
      </c>
      <c r="B2" s="17" t="s">
        <v>15</v>
      </c>
      <c r="C2" s="17" t="s">
        <v>13</v>
      </c>
      <c r="D2" s="17" t="s">
        <v>16</v>
      </c>
      <c r="E2" s="17" t="s">
        <v>53</v>
      </c>
      <c r="F2" s="17" t="s">
        <v>54</v>
      </c>
    </row>
    <row r="3" customFormat="false" ht="15" hidden="false" customHeight="false" outlineLevel="0" collapsed="false">
      <c r="A3" s="17" t="s">
        <v>17</v>
      </c>
      <c r="B3" s="17" t="s">
        <v>18</v>
      </c>
      <c r="C3" s="17" t="s">
        <v>13</v>
      </c>
      <c r="D3" s="17" t="s">
        <v>19</v>
      </c>
      <c r="E3" s="17" t="s">
        <v>53</v>
      </c>
      <c r="F3" s="17" t="s">
        <v>54</v>
      </c>
    </row>
    <row r="4" customFormat="false" ht="15" hidden="false" customHeight="false" outlineLevel="0" collapsed="false">
      <c r="A4" s="17" t="s">
        <v>20</v>
      </c>
      <c r="B4" s="17" t="s">
        <v>21</v>
      </c>
      <c r="C4" s="17" t="s">
        <v>13</v>
      </c>
      <c r="D4" s="17" t="s">
        <v>19</v>
      </c>
      <c r="E4" s="17" t="s">
        <v>53</v>
      </c>
      <c r="F4" s="17" t="s">
        <v>54</v>
      </c>
    </row>
    <row r="5" customFormat="false" ht="15" hidden="false" customHeight="false" outlineLevel="0" collapsed="false">
      <c r="A5" s="17" t="s">
        <v>22</v>
      </c>
      <c r="B5" s="17" t="s">
        <v>23</v>
      </c>
      <c r="C5" s="17" t="s">
        <v>13</v>
      </c>
      <c r="D5" s="17" t="s">
        <v>19</v>
      </c>
      <c r="E5" s="17" t="s">
        <v>53</v>
      </c>
      <c r="F5" s="17" t="s">
        <v>54</v>
      </c>
    </row>
    <row r="6" customFormat="false" ht="15" hidden="false" customHeight="false" outlineLevel="0" collapsed="false">
      <c r="A6" s="17" t="s">
        <v>24</v>
      </c>
      <c r="B6" s="17" t="s">
        <v>25</v>
      </c>
      <c r="C6" s="17" t="s">
        <v>13</v>
      </c>
      <c r="D6" s="17" t="s">
        <v>19</v>
      </c>
      <c r="E6" s="17" t="s">
        <v>53</v>
      </c>
      <c r="F6" s="17" t="s">
        <v>54</v>
      </c>
    </row>
    <row r="7" customFormat="false" ht="15" hidden="false" customHeight="false" outlineLevel="0" collapsed="false">
      <c r="A7" s="17" t="s">
        <v>27</v>
      </c>
      <c r="B7" s="17" t="s">
        <v>28</v>
      </c>
      <c r="C7" s="17" t="s">
        <v>26</v>
      </c>
      <c r="D7" s="17" t="s">
        <v>16</v>
      </c>
      <c r="E7" s="17" t="s">
        <v>53</v>
      </c>
      <c r="F7" s="17" t="s">
        <v>54</v>
      </c>
    </row>
    <row r="8" customFormat="false" ht="15" hidden="false" customHeight="false" outlineLevel="0" collapsed="false">
      <c r="A8" s="17" t="s">
        <v>29</v>
      </c>
      <c r="B8" s="17" t="s">
        <v>30</v>
      </c>
      <c r="C8" s="17" t="s">
        <v>26</v>
      </c>
      <c r="D8" s="17" t="s">
        <v>19</v>
      </c>
      <c r="E8" s="17" t="s">
        <v>53</v>
      </c>
      <c r="F8" s="17" t="s">
        <v>54</v>
      </c>
    </row>
    <row r="9" customFormat="false" ht="15" hidden="false" customHeight="false" outlineLevel="0" collapsed="false">
      <c r="A9" s="17" t="s">
        <v>31</v>
      </c>
      <c r="B9" s="17" t="s">
        <v>32</v>
      </c>
      <c r="C9" s="17" t="s">
        <v>26</v>
      </c>
      <c r="D9" s="17" t="s">
        <v>19</v>
      </c>
      <c r="E9" s="17" t="s">
        <v>53</v>
      </c>
      <c r="F9" s="17" t="s">
        <v>54</v>
      </c>
    </row>
    <row r="10" customFormat="false" ht="15" hidden="false" customHeight="false" outlineLevel="0" collapsed="false">
      <c r="A10" s="17" t="s">
        <v>33</v>
      </c>
      <c r="B10" s="17" t="s">
        <v>34</v>
      </c>
      <c r="C10" s="17" t="s">
        <v>26</v>
      </c>
      <c r="D10" s="17" t="s">
        <v>19</v>
      </c>
      <c r="E10" s="17" t="s">
        <v>53</v>
      </c>
      <c r="F10" s="17" t="s">
        <v>54</v>
      </c>
    </row>
    <row r="11" customFormat="false" ht="15" hidden="false" customHeight="false" outlineLevel="0" collapsed="false">
      <c r="A11" s="17" t="s">
        <v>35</v>
      </c>
      <c r="B11" s="17" t="s">
        <v>36</v>
      </c>
      <c r="C11" s="17" t="s">
        <v>26</v>
      </c>
      <c r="D11" s="17" t="s">
        <v>19</v>
      </c>
      <c r="E11" s="17" t="s">
        <v>53</v>
      </c>
      <c r="F11" s="17" t="s">
        <v>54</v>
      </c>
    </row>
    <row r="12" customFormat="false" ht="15" hidden="false" customHeight="false" outlineLevel="0" collapsed="false">
      <c r="A12" s="17" t="s">
        <v>38</v>
      </c>
      <c r="B12" s="17" t="s">
        <v>39</v>
      </c>
      <c r="C12" s="17" t="s">
        <v>37</v>
      </c>
      <c r="D12" s="17" t="s">
        <v>16</v>
      </c>
      <c r="E12" s="17" t="s">
        <v>53</v>
      </c>
      <c r="F12" s="17" t="s">
        <v>54</v>
      </c>
    </row>
    <row r="13" customFormat="false" ht="15" hidden="false" customHeight="false" outlineLevel="0" collapsed="false">
      <c r="A13" s="17" t="s">
        <v>40</v>
      </c>
      <c r="B13" s="17" t="s">
        <v>41</v>
      </c>
      <c r="C13" s="17" t="s">
        <v>37</v>
      </c>
      <c r="D13" s="17" t="s">
        <v>19</v>
      </c>
      <c r="E13" s="17" t="s">
        <v>53</v>
      </c>
      <c r="F13" s="17" t="s">
        <v>54</v>
      </c>
    </row>
    <row r="14" customFormat="false" ht="15" hidden="false" customHeight="false" outlineLevel="0" collapsed="false">
      <c r="A14" s="17" t="s">
        <v>42</v>
      </c>
      <c r="B14" s="17" t="s">
        <v>43</v>
      </c>
      <c r="C14" s="17" t="s">
        <v>37</v>
      </c>
      <c r="D14" s="17" t="s">
        <v>19</v>
      </c>
      <c r="E14" s="17" t="s">
        <v>53</v>
      </c>
      <c r="F14" s="17" t="s">
        <v>54</v>
      </c>
    </row>
    <row r="15" customFormat="false" ht="15" hidden="false" customHeight="false" outlineLevel="0" collapsed="false">
      <c r="A15" s="17" t="s">
        <v>44</v>
      </c>
      <c r="B15" s="17" t="s">
        <v>45</v>
      </c>
      <c r="C15" s="17" t="s">
        <v>37</v>
      </c>
      <c r="D15" s="17" t="s">
        <v>19</v>
      </c>
      <c r="E15" s="17" t="s">
        <v>53</v>
      </c>
      <c r="F15" s="17" t="s">
        <v>54</v>
      </c>
    </row>
    <row r="16" customFormat="false" ht="15" hidden="false" customHeight="false" outlineLevel="0" collapsed="false">
      <c r="A16" s="17" t="s">
        <v>46</v>
      </c>
      <c r="B16" s="17" t="s">
        <v>47</v>
      </c>
      <c r="C16" s="17" t="s">
        <v>37</v>
      </c>
      <c r="D16" s="17" t="s">
        <v>19</v>
      </c>
      <c r="E16" s="17" t="s">
        <v>11</v>
      </c>
      <c r="F16" s="17" t="s">
        <v>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J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6" min="6" style="0" width="20"/>
    <col collapsed="false" customWidth="true" hidden="false" outlineLevel="0" max="7" min="7" style="0" width="16"/>
    <col collapsed="false" customWidth="true" hidden="false" outlineLevel="0" max="8" min="8" style="0" width="20"/>
    <col collapsed="false" customWidth="true" hidden="false" outlineLevel="0" max="10" min="9" style="0" width="18"/>
  </cols>
  <sheetData>
    <row r="1" customFormat="false" ht="26.85" hidden="false" customHeight="false" outlineLevel="0" collapsed="false">
      <c r="A1" s="3" t="s">
        <v>5</v>
      </c>
      <c r="B1" s="3" t="s">
        <v>6</v>
      </c>
      <c r="C1" s="3" t="s">
        <v>4</v>
      </c>
      <c r="D1" s="3" t="s">
        <v>7</v>
      </c>
      <c r="E1" s="3" t="s">
        <v>55</v>
      </c>
      <c r="F1" s="3" t="s">
        <v>56</v>
      </c>
      <c r="G1" s="3" t="s">
        <v>57</v>
      </c>
      <c r="H1" s="3" t="s">
        <v>58</v>
      </c>
      <c r="I1" s="3" t="s">
        <v>59</v>
      </c>
      <c r="J1" s="3" t="s">
        <v>60</v>
      </c>
    </row>
    <row r="2" customFormat="false" ht="15" hidden="false" customHeight="false" outlineLevel="0" collapsed="false">
      <c r="A2" s="17" t="s">
        <v>14</v>
      </c>
      <c r="B2" s="17" t="str">
        <f aca="false">VLOOKUP(A2,StaffRegistry!A:B,2,FALSE())</f>
        <v>Chikondi Chirwa</v>
      </c>
      <c r="C2" s="17" t="str">
        <f aca="false">VLOOKUP(A2,StaffRegistry!A:C,3,FALSE())</f>
        <v>A</v>
      </c>
      <c r="D2" s="17" t="str">
        <f aca="false">VLOOKUP(A2,StaffRegistry!A:D,4,FALSE())</f>
        <v>Leader</v>
      </c>
      <c r="E2" s="18" t="n">
        <f aca="false">COUNTIFS(WeeklyInput!D$4:D$5000,A2,WeeklyInput!G$4:G$5000,"&gt;"&amp;0)</f>
        <v>2</v>
      </c>
      <c r="F2" s="19" t="n">
        <f aca="false">SUMIFS(WeeklyInput!G$4:G$5000,WeeklyInput!D$4:D$5000,A2)</f>
        <v>8181.52</v>
      </c>
      <c r="G2" s="20" t="n">
        <f aca="false">SUMIFS(WeeklyInput!H$4:H$5000,WeeklyInput!D$4:D$5000,A2)</f>
        <v>3</v>
      </c>
      <c r="H2" s="21" t="n">
        <f aca="false">IF(E2&gt;0,F2/E2,0)</f>
        <v>4090.76</v>
      </c>
      <c r="I2" s="21" t="n">
        <f aca="false">IFERROR(maxifs(WeeklyInput!G$4:G$5000,WeeklyInput!D$4:D$5000,A2),0)</f>
        <v>0</v>
      </c>
      <c r="J2" s="21" t="n">
        <f aca="false">IFERROR(minifs(WeeklyInput!G$4:G$5000,WeeklyInput!D$4:D$5000,A2,WeeklyInput!G$4:G$5000,"&gt;"&amp;0),0)</f>
        <v>0</v>
      </c>
    </row>
    <row r="3" customFormat="false" ht="15" hidden="false" customHeight="false" outlineLevel="0" collapsed="false">
      <c r="A3" s="17" t="s">
        <v>17</v>
      </c>
      <c r="B3" s="17" t="str">
        <f aca="false">VLOOKUP(A3,StaffRegistry!A:B,2,FALSE())</f>
        <v>Philip Kaukonde</v>
      </c>
      <c r="C3" s="17" t="str">
        <f aca="false">VLOOKUP(A3,StaffRegistry!A:C,3,FALSE())</f>
        <v>A</v>
      </c>
      <c r="D3" s="17" t="str">
        <f aca="false">VLOOKUP(A3,StaffRegistry!A:D,4,FALSE())</f>
        <v>Attendant</v>
      </c>
      <c r="E3" s="18" t="n">
        <f aca="false">COUNTIFS(WeeklyInput!D$4:D$5000,A3,WeeklyInput!G$4:G$5000,"&gt;"&amp;0)</f>
        <v>2</v>
      </c>
      <c r="F3" s="19" t="n">
        <f aca="false">SUMIFS(WeeklyInput!G$4:G$5000,WeeklyInput!D$4:D$5000,A3)</f>
        <v>2653.2</v>
      </c>
      <c r="G3" s="20" t="n">
        <f aca="false">SUMIFS(WeeklyInput!H$4:H$5000,WeeklyInput!D$4:D$5000,A3)</f>
        <v>105</v>
      </c>
      <c r="H3" s="21" t="n">
        <f aca="false">IF(E3&gt;0,F3/E3,0)</f>
        <v>1326.6</v>
      </c>
      <c r="I3" s="21" t="n">
        <f aca="false">IFERROR(maxifs(WeeklyInput!G$4:G$5000,WeeklyInput!D$4:D$5000,A3),0)</f>
        <v>0</v>
      </c>
      <c r="J3" s="21" t="n">
        <f aca="false">IFERROR(minifs(WeeklyInput!G$4:G$5000,WeeklyInput!D$4:D$5000,A3,WeeklyInput!G$4:G$5000,"&gt;"&amp;0),0)</f>
        <v>0</v>
      </c>
    </row>
    <row r="4" customFormat="false" ht="15" hidden="false" customHeight="false" outlineLevel="0" collapsed="false">
      <c r="A4" s="17" t="s">
        <v>20</v>
      </c>
      <c r="B4" s="17" t="str">
        <f aca="false">VLOOKUP(A4,StaffRegistry!A:B,2,FALSE())</f>
        <v>Jackson Issah</v>
      </c>
      <c r="C4" s="17" t="str">
        <f aca="false">VLOOKUP(A4,StaffRegistry!A:C,3,FALSE())</f>
        <v>A</v>
      </c>
      <c r="D4" s="17" t="str">
        <f aca="false">VLOOKUP(A4,StaffRegistry!A:D,4,FALSE())</f>
        <v>Attendant</v>
      </c>
      <c r="E4" s="18" t="n">
        <f aca="false">COUNTIFS(WeeklyInput!D$4:D$5000,A4,WeeklyInput!G$4:G$5000,"&gt;"&amp;0)</f>
        <v>2</v>
      </c>
      <c r="F4" s="19" t="n">
        <f aca="false">SUMIFS(WeeklyInput!G$4:G$5000,WeeklyInput!D$4:D$5000,A4)</f>
        <v>5569.74</v>
      </c>
      <c r="G4" s="20" t="n">
        <f aca="false">SUMIFS(WeeklyInput!H$4:H$5000,WeeklyInput!D$4:D$5000,A4)</f>
        <v>14</v>
      </c>
      <c r="H4" s="21" t="n">
        <f aca="false">IF(E4&gt;0,F4/E4,0)</f>
        <v>2784.87</v>
      </c>
      <c r="I4" s="21" t="n">
        <f aca="false">IFERROR(maxifs(WeeklyInput!G$4:G$5000,WeeklyInput!D$4:D$5000,A4),0)</f>
        <v>0</v>
      </c>
      <c r="J4" s="21" t="n">
        <f aca="false">IFERROR(minifs(WeeklyInput!G$4:G$5000,WeeklyInput!D$4:D$5000,A4,WeeklyInput!G$4:G$5000,"&gt;"&amp;0),0)</f>
        <v>0</v>
      </c>
    </row>
    <row r="5" customFormat="false" ht="15" hidden="false" customHeight="false" outlineLevel="0" collapsed="false">
      <c r="A5" s="17" t="s">
        <v>22</v>
      </c>
      <c r="B5" s="17" t="str">
        <f aca="false">VLOOKUP(A5,StaffRegistry!A:B,2,FALSE())</f>
        <v>Tiyamike Mwale</v>
      </c>
      <c r="C5" s="17" t="str">
        <f aca="false">VLOOKUP(A5,StaffRegistry!A:C,3,FALSE())</f>
        <v>A</v>
      </c>
      <c r="D5" s="17" t="str">
        <f aca="false">VLOOKUP(A5,StaffRegistry!A:D,4,FALSE())</f>
        <v>Attendant</v>
      </c>
      <c r="E5" s="18" t="n">
        <f aca="false">COUNTIFS(WeeklyInput!D$4:D$5000,A5,WeeklyInput!G$4:G$5000,"&gt;"&amp;0)</f>
        <v>2</v>
      </c>
      <c r="F5" s="19" t="n">
        <f aca="false">SUMIFS(WeeklyInput!G$4:G$5000,WeeklyInput!D$4:D$5000,A5)</f>
        <v>6827.67</v>
      </c>
      <c r="G5" s="20" t="n">
        <f aca="false">SUMIFS(WeeklyInput!H$4:H$5000,WeeklyInput!D$4:D$5000,A5)</f>
        <v>7.5</v>
      </c>
      <c r="H5" s="21" t="n">
        <f aca="false">IF(E5&gt;0,F5/E5,0)</f>
        <v>3413.835</v>
      </c>
      <c r="I5" s="21" t="n">
        <f aca="false">IFERROR(maxifs(WeeklyInput!G$4:G$5000,WeeklyInput!D$4:D$5000,A5),0)</f>
        <v>0</v>
      </c>
      <c r="J5" s="21" t="n">
        <f aca="false">IFERROR(minifs(WeeklyInput!G$4:G$5000,WeeklyInput!D$4:D$5000,A5,WeeklyInput!G$4:G$5000,"&gt;"&amp;0),0)</f>
        <v>0</v>
      </c>
    </row>
    <row r="6" customFormat="false" ht="15" hidden="false" customHeight="false" outlineLevel="0" collapsed="false">
      <c r="A6" s="17" t="s">
        <v>24</v>
      </c>
      <c r="B6" s="17" t="str">
        <f aca="false">VLOOKUP(A6,StaffRegistry!A:B,2,FALSE())</f>
        <v>Cyrus Nyirenda</v>
      </c>
      <c r="C6" s="17" t="str">
        <f aca="false">VLOOKUP(A6,StaffRegistry!A:C,3,FALSE())</f>
        <v>A</v>
      </c>
      <c r="D6" s="17" t="str">
        <f aca="false">VLOOKUP(A6,StaffRegistry!A:D,4,FALSE())</f>
        <v>Attendant</v>
      </c>
      <c r="E6" s="18" t="n">
        <f aca="false">COUNTIFS(WeeklyInput!D$4:D$5000,A6,WeeklyInput!G$4:G$5000,"&gt;"&amp;0)</f>
        <v>2</v>
      </c>
      <c r="F6" s="19" t="n">
        <f aca="false">SUMIFS(WeeklyInput!G$4:G$5000,WeeklyInput!D$4:D$5000,A6)</f>
        <v>6887.36</v>
      </c>
      <c r="G6" s="20" t="n">
        <f aca="false">SUMIFS(WeeklyInput!H$4:H$5000,WeeklyInput!D$4:D$5000,A6)</f>
        <v>0</v>
      </c>
      <c r="H6" s="21" t="n">
        <f aca="false">IF(E6&gt;0,F6/E6,0)</f>
        <v>3443.68</v>
      </c>
      <c r="I6" s="21" t="n">
        <f aca="false">IFERROR(maxifs(WeeklyInput!G$4:G$5000,WeeklyInput!D$4:D$5000,A6),0)</f>
        <v>0</v>
      </c>
      <c r="J6" s="21" t="n">
        <f aca="false">IFERROR(minifs(WeeklyInput!G$4:G$5000,WeeklyInput!D$4:D$5000,A6,WeeklyInput!G$4:G$5000,"&gt;"&amp;0),0)</f>
        <v>0</v>
      </c>
    </row>
    <row r="7" customFormat="false" ht="15" hidden="false" customHeight="false" outlineLevel="0" collapsed="false">
      <c r="A7" s="17" t="s">
        <v>27</v>
      </c>
      <c r="B7" s="17" t="str">
        <f aca="false">VLOOKUP(A7,StaffRegistry!A:B,2,FALSE())</f>
        <v>Moffat Nkhoma</v>
      </c>
      <c r="C7" s="17" t="str">
        <f aca="false">VLOOKUP(A7,StaffRegistry!A:C,3,FALSE())</f>
        <v>B</v>
      </c>
      <c r="D7" s="17" t="str">
        <f aca="false">VLOOKUP(A7,StaffRegistry!A:D,4,FALSE())</f>
        <v>Leader</v>
      </c>
      <c r="E7" s="18" t="n">
        <f aca="false">COUNTIFS(WeeklyInput!D$4:D$5000,A7,WeeklyInput!G$4:G$5000,"&gt;"&amp;0)</f>
        <v>2</v>
      </c>
      <c r="F7" s="19" t="n">
        <f aca="false">SUMIFS(WeeklyInput!G$4:G$5000,WeeklyInput!D$4:D$5000,A7)</f>
        <v>4061.58</v>
      </c>
      <c r="G7" s="20" t="n">
        <f aca="false">SUMIFS(WeeklyInput!H$4:H$5000,WeeklyInput!D$4:D$5000,A7)</f>
        <v>11.5</v>
      </c>
      <c r="H7" s="21" t="n">
        <f aca="false">IF(E7&gt;0,F7/E7,0)</f>
        <v>2030.79</v>
      </c>
      <c r="I7" s="21" t="n">
        <f aca="false">IFERROR(maxifs(WeeklyInput!G$4:G$5000,WeeklyInput!D$4:D$5000,A7),0)</f>
        <v>0</v>
      </c>
      <c r="J7" s="21" t="n">
        <f aca="false">IFERROR(minifs(WeeklyInput!G$4:G$5000,WeeklyInput!D$4:D$5000,A7,WeeklyInput!G$4:G$5000,"&gt;"&amp;0),0)</f>
        <v>0</v>
      </c>
    </row>
    <row r="8" customFormat="false" ht="15" hidden="false" customHeight="false" outlineLevel="0" collapsed="false">
      <c r="A8" s="17" t="s">
        <v>29</v>
      </c>
      <c r="B8" s="17" t="str">
        <f aca="false">VLOOKUP(A8,StaffRegistry!A:B,2,FALSE())</f>
        <v>Emmanuel Chinseu</v>
      </c>
      <c r="C8" s="17" t="str">
        <f aca="false">VLOOKUP(A8,StaffRegistry!A:C,3,FALSE())</f>
        <v>B</v>
      </c>
      <c r="D8" s="17" t="str">
        <f aca="false">VLOOKUP(A8,StaffRegistry!A:D,4,FALSE())</f>
        <v>Attendant</v>
      </c>
      <c r="E8" s="18" t="n">
        <f aca="false">COUNTIFS(WeeklyInput!D$4:D$5000,A8,WeeklyInput!G$4:G$5000,"&gt;"&amp;0)</f>
        <v>2</v>
      </c>
      <c r="F8" s="19" t="n">
        <f aca="false">SUMIFS(WeeklyInput!G$4:G$5000,WeeklyInput!D$4:D$5000,A8)</f>
        <v>8950.36</v>
      </c>
      <c r="G8" s="20" t="n">
        <f aca="false">SUMIFS(WeeklyInput!H$4:H$5000,WeeklyInput!D$4:D$5000,A8)</f>
        <v>0</v>
      </c>
      <c r="H8" s="21" t="n">
        <f aca="false">IF(E8&gt;0,F8/E8,0)</f>
        <v>4475.18</v>
      </c>
      <c r="I8" s="21" t="n">
        <f aca="false">IFERROR(maxifs(WeeklyInput!G$4:G$5000,WeeklyInput!D$4:D$5000,A8),0)</f>
        <v>0</v>
      </c>
      <c r="J8" s="21" t="n">
        <f aca="false">IFERROR(minifs(WeeklyInput!G$4:G$5000,WeeklyInput!D$4:D$5000,A8,WeeklyInput!G$4:G$5000,"&gt;"&amp;0),0)</f>
        <v>0</v>
      </c>
    </row>
    <row r="9" customFormat="false" ht="15" hidden="false" customHeight="false" outlineLevel="0" collapsed="false">
      <c r="A9" s="17" t="s">
        <v>31</v>
      </c>
      <c r="B9" s="17" t="str">
        <f aca="false">VLOOKUP(A9,StaffRegistry!A:B,2,FALSE())</f>
        <v>Emmanuel Makoko</v>
      </c>
      <c r="C9" s="17" t="str">
        <f aca="false">VLOOKUP(A9,StaffRegistry!A:C,3,FALSE())</f>
        <v>B</v>
      </c>
      <c r="D9" s="17" t="str">
        <f aca="false">VLOOKUP(A9,StaffRegistry!A:D,4,FALSE())</f>
        <v>Attendant</v>
      </c>
      <c r="E9" s="18" t="n">
        <f aca="false">COUNTIFS(WeeklyInput!D$4:D$5000,A9,WeeklyInput!G$4:G$5000,"&gt;"&amp;0)</f>
        <v>2</v>
      </c>
      <c r="F9" s="19" t="n">
        <f aca="false">SUMIFS(WeeklyInput!G$4:G$5000,WeeklyInput!D$4:D$5000,A9)</f>
        <v>7756.67</v>
      </c>
      <c r="G9" s="20" t="n">
        <f aca="false">SUMIFS(WeeklyInput!H$4:H$5000,WeeklyInput!D$4:D$5000,A9)</f>
        <v>0</v>
      </c>
      <c r="H9" s="21" t="n">
        <f aca="false">IF(E9&gt;0,F9/E9,0)</f>
        <v>3878.335</v>
      </c>
      <c r="I9" s="21" t="n">
        <f aca="false">IFERROR(maxifs(WeeklyInput!G$4:G$5000,WeeklyInput!D$4:D$5000,A9),0)</f>
        <v>0</v>
      </c>
      <c r="J9" s="21" t="n">
        <f aca="false">IFERROR(minifs(WeeklyInput!G$4:G$5000,WeeklyInput!D$4:D$5000,A9,WeeklyInput!G$4:G$5000,"&gt;"&amp;0),0)</f>
        <v>0</v>
      </c>
    </row>
    <row r="10" customFormat="false" ht="15" hidden="false" customHeight="false" outlineLevel="0" collapsed="false">
      <c r="A10" s="17" t="s">
        <v>33</v>
      </c>
      <c r="B10" s="17" t="str">
        <f aca="false">VLOOKUP(A10,StaffRegistry!A:B,2,FALSE())</f>
        <v>Flora Phiri</v>
      </c>
      <c r="C10" s="17" t="str">
        <f aca="false">VLOOKUP(A10,StaffRegistry!A:C,3,FALSE())</f>
        <v>B</v>
      </c>
      <c r="D10" s="17" t="str">
        <f aca="false">VLOOKUP(A10,StaffRegistry!A:D,4,FALSE())</f>
        <v>Attendant</v>
      </c>
      <c r="E10" s="18" t="n">
        <f aca="false">COUNTIFS(WeeklyInput!D$4:D$5000,A10,WeeklyInput!G$4:G$5000,"&gt;"&amp;0)</f>
        <v>2</v>
      </c>
      <c r="F10" s="19" t="n">
        <f aca="false">SUMIFS(WeeklyInput!G$4:G$5000,WeeklyInput!D$4:D$5000,A10)</f>
        <v>5049.84</v>
      </c>
      <c r="G10" s="20" t="n">
        <f aca="false">SUMIFS(WeeklyInput!H$4:H$5000,WeeklyInput!D$4:D$5000,A10)</f>
        <v>5.1</v>
      </c>
      <c r="H10" s="21" t="n">
        <f aca="false">IF(E10&gt;0,F10/E10,0)</f>
        <v>2524.92</v>
      </c>
      <c r="I10" s="21" t="n">
        <f aca="false">IFERROR(maxifs(WeeklyInput!G$4:G$5000,WeeklyInput!D$4:D$5000,A10),0)</f>
        <v>0</v>
      </c>
      <c r="J10" s="21" t="n">
        <f aca="false">IFERROR(minifs(WeeklyInput!G$4:G$5000,WeeklyInput!D$4:D$5000,A10,WeeklyInput!G$4:G$5000,"&gt;"&amp;0),0)</f>
        <v>0</v>
      </c>
    </row>
    <row r="11" customFormat="false" ht="15" hidden="false" customHeight="false" outlineLevel="0" collapsed="false">
      <c r="A11" s="17" t="s">
        <v>35</v>
      </c>
      <c r="B11" s="17" t="str">
        <f aca="false">VLOOKUP(A11,StaffRegistry!A:B,2,FALSE())</f>
        <v>Madalo Mchenga</v>
      </c>
      <c r="C11" s="17" t="str">
        <f aca="false">VLOOKUP(A11,StaffRegistry!A:C,3,FALSE())</f>
        <v>B</v>
      </c>
      <c r="D11" s="17" t="str">
        <f aca="false">VLOOKUP(A11,StaffRegistry!A:D,4,FALSE())</f>
        <v>Attendant</v>
      </c>
      <c r="E11" s="18" t="n">
        <f aca="false">COUNTIFS(WeeklyInput!D$4:D$5000,A11,WeeklyInput!G$4:G$5000,"&gt;"&amp;0)</f>
        <v>2</v>
      </c>
      <c r="F11" s="19" t="n">
        <f aca="false">SUMIFS(WeeklyInput!G$4:G$5000,WeeklyInput!D$4:D$5000,A11)</f>
        <v>5300.58</v>
      </c>
      <c r="G11" s="20" t="n">
        <f aca="false">SUMIFS(WeeklyInput!H$4:H$5000,WeeklyInput!D$4:D$5000,A11)</f>
        <v>0</v>
      </c>
      <c r="H11" s="21" t="n">
        <f aca="false">IF(E11&gt;0,F11/E11,0)</f>
        <v>2650.29</v>
      </c>
      <c r="I11" s="21" t="n">
        <f aca="false">IFERROR(maxifs(WeeklyInput!G$4:G$5000,WeeklyInput!D$4:D$5000,A11),0)</f>
        <v>0</v>
      </c>
      <c r="J11" s="21" t="n">
        <f aca="false">IFERROR(minifs(WeeklyInput!G$4:G$5000,WeeklyInput!D$4:D$5000,A11,WeeklyInput!G$4:G$5000,"&gt;"&amp;0),0)</f>
        <v>0</v>
      </c>
    </row>
    <row r="12" customFormat="false" ht="15" hidden="false" customHeight="false" outlineLevel="0" collapsed="false">
      <c r="A12" s="17" t="s">
        <v>38</v>
      </c>
      <c r="B12" s="17" t="str">
        <f aca="false">VLOOKUP(A12,StaffRegistry!A:B,2,FALSE())</f>
        <v>Pilirani Kulinj</v>
      </c>
      <c r="C12" s="17" t="str">
        <f aca="false">VLOOKUP(A12,StaffRegistry!A:C,3,FALSE())</f>
        <v>C</v>
      </c>
      <c r="D12" s="17" t="str">
        <f aca="false">VLOOKUP(A12,StaffRegistry!A:D,4,FALSE())</f>
        <v>Leader</v>
      </c>
      <c r="E12" s="18" t="n">
        <f aca="false">COUNTIFS(WeeklyInput!D$4:D$5000,A12,WeeklyInput!G$4:G$5000,"&gt;"&amp;0)</f>
        <v>2</v>
      </c>
      <c r="F12" s="19" t="n">
        <f aca="false">SUMIFS(WeeklyInput!G$4:G$5000,WeeklyInput!D$4:D$5000,A12)</f>
        <v>6502.95</v>
      </c>
      <c r="G12" s="20" t="n">
        <f aca="false">SUMIFS(WeeklyInput!H$4:H$5000,WeeklyInput!D$4:D$5000,A12)</f>
        <v>0</v>
      </c>
      <c r="H12" s="21" t="n">
        <f aca="false">IF(E12&gt;0,F12/E12,0)</f>
        <v>3251.475</v>
      </c>
      <c r="I12" s="21" t="n">
        <f aca="false">IFERROR(maxifs(WeeklyInput!G$4:G$5000,WeeklyInput!D$4:D$5000,A12),0)</f>
        <v>0</v>
      </c>
      <c r="J12" s="21" t="n">
        <f aca="false">IFERROR(minifs(WeeklyInput!G$4:G$5000,WeeklyInput!D$4:D$5000,A12,WeeklyInput!G$4:G$5000,"&gt;"&amp;0),0)</f>
        <v>0</v>
      </c>
    </row>
    <row r="13" customFormat="false" ht="15" hidden="false" customHeight="false" outlineLevel="0" collapsed="false">
      <c r="A13" s="17" t="s">
        <v>40</v>
      </c>
      <c r="B13" s="17" t="str">
        <f aca="false">VLOOKUP(A13,StaffRegistry!A:B,2,FALSE())</f>
        <v>Shadreck Bamusi</v>
      </c>
      <c r="C13" s="17" t="str">
        <f aca="false">VLOOKUP(A13,StaffRegistry!A:C,3,FALSE())</f>
        <v>C</v>
      </c>
      <c r="D13" s="17" t="str">
        <f aca="false">VLOOKUP(A13,StaffRegistry!A:D,4,FALSE())</f>
        <v>Attendant</v>
      </c>
      <c r="E13" s="18" t="n">
        <f aca="false">COUNTIFS(WeeklyInput!D$4:D$5000,A13,WeeklyInput!G$4:G$5000,"&gt;"&amp;0)</f>
        <v>2</v>
      </c>
      <c r="F13" s="19" t="n">
        <f aca="false">SUMIFS(WeeklyInput!G$4:G$5000,WeeklyInput!D$4:D$5000,A13)</f>
        <v>8500.04</v>
      </c>
      <c r="G13" s="20" t="n">
        <f aca="false">SUMIFS(WeeklyInput!H$4:H$5000,WeeklyInput!D$4:D$5000,A13)</f>
        <v>0</v>
      </c>
      <c r="H13" s="21" t="n">
        <f aca="false">IF(E13&gt;0,F13/E13,0)</f>
        <v>4250.02</v>
      </c>
      <c r="I13" s="21" t="n">
        <f aca="false">IFERROR(maxifs(WeeklyInput!G$4:G$5000,WeeklyInput!D$4:D$5000,A13),0)</f>
        <v>0</v>
      </c>
      <c r="J13" s="21" t="n">
        <f aca="false">IFERROR(minifs(WeeklyInput!G$4:G$5000,WeeklyInput!D$4:D$5000,A13,WeeklyInput!G$4:G$5000,"&gt;"&amp;0),0)</f>
        <v>0</v>
      </c>
    </row>
    <row r="14" customFormat="false" ht="15" hidden="false" customHeight="false" outlineLevel="0" collapsed="false">
      <c r="A14" s="17" t="s">
        <v>42</v>
      </c>
      <c r="B14" s="17" t="str">
        <f aca="false">VLOOKUP(A14,StaffRegistry!A:B,2,FALSE())</f>
        <v>Mike Siyasiya</v>
      </c>
      <c r="C14" s="17" t="str">
        <f aca="false">VLOOKUP(A14,StaffRegistry!A:C,3,FALSE())</f>
        <v>C</v>
      </c>
      <c r="D14" s="17" t="str">
        <f aca="false">VLOOKUP(A14,StaffRegistry!A:D,4,FALSE())</f>
        <v>Attendant</v>
      </c>
      <c r="E14" s="18" t="n">
        <f aca="false">COUNTIFS(WeeklyInput!D$4:D$5000,A14,WeeklyInput!G$4:G$5000,"&gt;"&amp;0)</f>
        <v>2</v>
      </c>
      <c r="F14" s="19" t="n">
        <f aca="false">SUMIFS(WeeklyInput!G$4:G$5000,WeeklyInput!D$4:D$5000,A14)</f>
        <v>7916.05</v>
      </c>
      <c r="G14" s="20" t="n">
        <f aca="false">SUMIFS(WeeklyInput!H$4:H$5000,WeeklyInput!D$4:D$5000,A14)</f>
        <v>0</v>
      </c>
      <c r="H14" s="21" t="n">
        <f aca="false">IF(E14&gt;0,F14/E14,0)</f>
        <v>3958.025</v>
      </c>
      <c r="I14" s="21" t="n">
        <f aca="false">IFERROR(maxifs(WeeklyInput!G$4:G$5000,WeeklyInput!D$4:D$5000,A14),0)</f>
        <v>0</v>
      </c>
      <c r="J14" s="21" t="n">
        <f aca="false">IFERROR(minifs(WeeklyInput!G$4:G$5000,WeeklyInput!D$4:D$5000,A14,WeeklyInput!G$4:G$5000,"&gt;"&amp;0),0)</f>
        <v>0</v>
      </c>
    </row>
    <row r="15" customFormat="false" ht="15" hidden="false" customHeight="false" outlineLevel="0" collapsed="false">
      <c r="A15" s="17" t="s">
        <v>44</v>
      </c>
      <c r="B15" s="17" t="str">
        <f aca="false">VLOOKUP(A15,StaffRegistry!A:B,2,FALSE())</f>
        <v>Austin Chakanda</v>
      </c>
      <c r="C15" s="17" t="str">
        <f aca="false">VLOOKUP(A15,StaffRegistry!A:C,3,FALSE())</f>
        <v>C</v>
      </c>
      <c r="D15" s="17" t="str">
        <f aca="false">VLOOKUP(A15,StaffRegistry!A:D,4,FALSE())</f>
        <v>Attendant</v>
      </c>
      <c r="E15" s="18" t="n">
        <f aca="false">COUNTIFS(WeeklyInput!D$4:D$5000,A15,WeeklyInput!G$4:G$5000,"&gt;"&amp;0)</f>
        <v>2</v>
      </c>
      <c r="F15" s="19" t="n">
        <f aca="false">SUMIFS(WeeklyInput!G$4:G$5000,WeeklyInput!D$4:D$5000,A15)</f>
        <v>8423.57</v>
      </c>
      <c r="G15" s="20" t="n">
        <f aca="false">SUMIFS(WeeklyInput!H$4:H$5000,WeeklyInput!D$4:D$5000,A15)</f>
        <v>0</v>
      </c>
      <c r="H15" s="21" t="n">
        <f aca="false">IF(E15&gt;0,F15/E15,0)</f>
        <v>4211.785</v>
      </c>
      <c r="I15" s="21" t="n">
        <f aca="false">IFERROR(maxifs(WeeklyInput!G$4:G$5000,WeeklyInput!D$4:D$5000,A15),0)</f>
        <v>0</v>
      </c>
      <c r="J15" s="21" t="n">
        <f aca="false">IFERROR(minifs(WeeklyInput!G$4:G$5000,WeeklyInput!D$4:D$5000,A15,WeeklyInput!G$4:G$5000,"&gt;"&amp;0),0)</f>
        <v>0</v>
      </c>
    </row>
    <row r="16" customFormat="false" ht="15" hidden="false" customHeight="false" outlineLevel="0" collapsed="false">
      <c r="A16" s="17" t="s">
        <v>46</v>
      </c>
      <c r="B16" s="17" t="str">
        <f aca="false">VLOOKUP(A16,StaffRegistry!A:B,2,FALSE())</f>
        <v>Watson Gondwe</v>
      </c>
      <c r="C16" s="17" t="str">
        <f aca="false">VLOOKUP(A16,StaffRegistry!A:C,3,FALSE())</f>
        <v>C</v>
      </c>
      <c r="D16" s="17" t="str">
        <f aca="false">VLOOKUP(A16,StaffRegistry!A:D,4,FALSE())</f>
        <v>Attendant</v>
      </c>
      <c r="E16" s="18" t="n">
        <f aca="false">COUNTIFS(WeeklyInput!D$4:D$5000,A16,WeeklyInput!G$4:G$5000,"&gt;"&amp;0)</f>
        <v>0</v>
      </c>
      <c r="F16" s="19" t="n">
        <f aca="false">SUMIFS(WeeklyInput!G$4:G$5000,WeeklyInput!D$4:D$5000,A16)</f>
        <v>0</v>
      </c>
      <c r="G16" s="20" t="n">
        <f aca="false">SUMIFS(WeeklyInput!H$4:H$5000,WeeklyInput!D$4:D$5000,A16)</f>
        <v>0</v>
      </c>
      <c r="H16" s="21" t="n">
        <f aca="false">IF(E16&gt;0,F16/E16,0)</f>
        <v>0</v>
      </c>
      <c r="I16" s="21" t="n">
        <f aca="false">IFERROR(maxifs(WeeklyInput!G$4:G$5000,WeeklyInput!D$4:D$5000,A16),0)</f>
        <v>0</v>
      </c>
      <c r="J16" s="21" t="n">
        <f aca="false">IFERROR(minifs(WeeklyInput!G$4:G$5000,WeeklyInput!D$4:D$5000,A16,WeeklyInput!G$4:G$5000,"&gt;"&amp;0),0)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H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5" min="5" style="0" width="14"/>
    <col collapsed="false" customWidth="true" hidden="false" outlineLevel="0" max="7" min="6" style="0" width="18"/>
    <col collapsed="false" customWidth="true" hidden="false" outlineLevel="0" max="8" min="8" style="0" width="16"/>
  </cols>
  <sheetData>
    <row r="1" customFormat="false" ht="26.85" hidden="false" customHeight="false" outlineLevel="0" collapsed="false">
      <c r="A1" s="3" t="s">
        <v>4</v>
      </c>
      <c r="B1" s="3" t="s">
        <v>61</v>
      </c>
      <c r="C1" s="3" t="s">
        <v>62</v>
      </c>
      <c r="D1" s="3" t="s">
        <v>63</v>
      </c>
      <c r="E1" s="3" t="s">
        <v>64</v>
      </c>
      <c r="F1" s="3" t="s">
        <v>65</v>
      </c>
      <c r="G1" s="3" t="s">
        <v>66</v>
      </c>
      <c r="H1" s="3" t="s">
        <v>67</v>
      </c>
    </row>
    <row r="2" customFormat="false" ht="15" hidden="false" customHeight="false" outlineLevel="0" collapsed="false">
      <c r="A2" s="22" t="s">
        <v>13</v>
      </c>
      <c r="B2" s="23" t="n">
        <f aca="false">SUMIFS(WeeklyInput!G$4:G$5000,WeeklyInput!C$4:C$5000,A2)</f>
        <v>30119.49</v>
      </c>
      <c r="C2" s="24" t="n">
        <f aca="false">SUMIFS(WeeklyInput!H$4:H$5000,WeeklyInput!C$4:C$5000,A2)</f>
        <v>129.5</v>
      </c>
      <c r="D2" s="23" t="n">
        <f aca="false">IF(E2&gt;0,B2/E2,0)</f>
        <v>15059.745</v>
      </c>
      <c r="E2" s="24" t="n">
        <f aca="false">SUMPRODUCT((WeeklyInput!C$4:C$5000=A2)*(WeeklyInput!G$4:G$5000&gt;0))/COUNTIFS(StaffRegistry!C:C,A2,StaffRegistry!F:F,"Active")</f>
        <v>2</v>
      </c>
      <c r="F2" s="23" t="n">
        <f aca="false">IFERROR(maxifs(WeeklyInput!G$4:G$5000,WeeklyInput!C$4:C$5000,A2),0)</f>
        <v>0</v>
      </c>
      <c r="G2" s="23" t="n">
        <f aca="false">IFERROR(minifs(WeeklyInput!G$4:G$5000,WeeklyInput!C$4:C$5000,A2,WeeklyInput!G$4:G$5000,"&gt;"&amp;0),0)</f>
        <v>0</v>
      </c>
      <c r="H2" s="25" t="n">
        <f aca="false">COUNTIFS(StaffRegistry!C:C,A2,StaffRegistry!F:F,"Active")</f>
        <v>5</v>
      </c>
    </row>
    <row r="3" customFormat="false" ht="15" hidden="false" customHeight="false" outlineLevel="0" collapsed="false">
      <c r="A3" s="26" t="s">
        <v>26</v>
      </c>
      <c r="B3" s="27" t="n">
        <f aca="false">SUMIFS(WeeklyInput!G$4:G$5000,WeeklyInput!C$4:C$5000,A3)</f>
        <v>31119.03</v>
      </c>
      <c r="C3" s="28" t="n">
        <f aca="false">SUMIFS(WeeklyInput!H$4:H$5000,WeeklyInput!C$4:C$5000,A3)</f>
        <v>16.6</v>
      </c>
      <c r="D3" s="27" t="n">
        <f aca="false">IF(E3&gt;0,B3/E3,0)</f>
        <v>15559.515</v>
      </c>
      <c r="E3" s="28" t="n">
        <f aca="false">SUMPRODUCT((WeeklyInput!C$4:C$5000=A3)*(WeeklyInput!G$4:G$5000&gt;0))/COUNTIFS(StaffRegistry!C:C,A3,StaffRegistry!F:F,"Active")</f>
        <v>2</v>
      </c>
      <c r="F3" s="27" t="n">
        <f aca="false">IFERROR(maxifs(WeeklyInput!G$4:G$5000,WeeklyInput!C$4:C$5000,A3),0)</f>
        <v>0</v>
      </c>
      <c r="G3" s="27" t="n">
        <f aca="false">IFERROR(minifs(WeeklyInput!G$4:G$5000,WeeklyInput!C$4:C$5000,A3,WeeklyInput!G$4:G$5000,"&gt;"&amp;0),0)</f>
        <v>0</v>
      </c>
      <c r="H3" s="29" t="n">
        <f aca="false">COUNTIFS(StaffRegistry!C:C,A3,StaffRegistry!F:F,"Active")</f>
        <v>5</v>
      </c>
    </row>
    <row r="4" customFormat="false" ht="15" hidden="false" customHeight="false" outlineLevel="0" collapsed="false">
      <c r="A4" s="30" t="s">
        <v>37</v>
      </c>
      <c r="B4" s="31" t="n">
        <f aca="false">SUMIFS(WeeklyInput!G$4:G$5000,WeeklyInput!C$4:C$5000,A4)</f>
        <v>31342.61</v>
      </c>
      <c r="C4" s="32" t="n">
        <f aca="false">SUMIFS(WeeklyInput!H$4:H$5000,WeeklyInput!C$4:C$5000,A4)</f>
        <v>0</v>
      </c>
      <c r="D4" s="31" t="n">
        <f aca="false">IF(E4&gt;0,B4/E4,0)</f>
        <v>19589.13125</v>
      </c>
      <c r="E4" s="32" t="n">
        <f aca="false">SUMPRODUCT((WeeklyInput!C$4:C$5000=A4)*(WeeklyInput!G$4:G$5000&gt;0))/COUNTIFS(StaffRegistry!C:C,A4,StaffRegistry!F:F,"Active")</f>
        <v>1.6</v>
      </c>
      <c r="F4" s="31" t="n">
        <f aca="false">IFERROR(maxifs(WeeklyInput!G$4:G$5000,WeeklyInput!C$4:C$5000,A4),0)</f>
        <v>0</v>
      </c>
      <c r="G4" s="31" t="n">
        <f aca="false">IFERROR(minifs(WeeklyInput!G$4:G$5000,WeeklyInput!C$4:C$5000,A4,WeeklyInput!G$4:G$5000,"&gt;"&amp;0),0)</f>
        <v>0</v>
      </c>
      <c r="H4" s="33" t="n">
        <f aca="false">COUNTIFS(StaffRegistry!C:C,A4,StaffRegistry!F:F,"Active")</f>
        <v>5</v>
      </c>
    </row>
    <row r="5" customFormat="false" ht="15" hidden="false" customHeight="false" outlineLevel="0" collapsed="false">
      <c r="A5" s="34" t="s">
        <v>68</v>
      </c>
      <c r="B5" s="35" t="n">
        <f aca="false">SUM(B2:B4)</f>
        <v>92581.13</v>
      </c>
      <c r="C5" s="36" t="n">
        <f aca="false">SUM(C2:C4)</f>
        <v>146.1</v>
      </c>
      <c r="D5" s="35" t="n">
        <f aca="false">SUM(D2:D4)</f>
        <v>50208.39125</v>
      </c>
      <c r="E5" s="34"/>
      <c r="F5" s="34"/>
      <c r="G5" s="34"/>
      <c r="H5" s="34" t="n">
        <f aca="false">SUM(H2:H4)</f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I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5" min="3" style="0" width="16"/>
    <col collapsed="false" customWidth="true" hidden="false" outlineLevel="0" max="6" min="6" style="0" width="18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2"/>
  </cols>
  <sheetData>
    <row r="1" customFormat="false" ht="26.85" hidden="false" customHeight="false" outlineLevel="0" collapsed="false">
      <c r="A1" s="3" t="s">
        <v>2</v>
      </c>
      <c r="B1" s="3" t="s">
        <v>3</v>
      </c>
      <c r="C1" s="3" t="s">
        <v>69</v>
      </c>
      <c r="D1" s="3" t="s">
        <v>70</v>
      </c>
      <c r="E1" s="3" t="s">
        <v>71</v>
      </c>
      <c r="F1" s="3" t="s">
        <v>72</v>
      </c>
      <c r="G1" s="3" t="s">
        <v>73</v>
      </c>
      <c r="H1" s="3" t="s">
        <v>74</v>
      </c>
      <c r="I1" s="3" t="s">
        <v>75</v>
      </c>
    </row>
    <row r="2" customFormat="false" ht="15" hidden="false" customHeight="false" outlineLevel="0" collapsed="false">
      <c r="A2" s="37" t="s">
        <v>11</v>
      </c>
      <c r="B2" s="37" t="s">
        <v>12</v>
      </c>
      <c r="C2" s="21" t="n">
        <f aca="false">SUMIFS(WeeklyInput!G$4:G$5000,WeeklyInput!A$4:A$5000,A2,WeeklyInput!C$4:C$5000,"A")</f>
        <v>18135.64</v>
      </c>
      <c r="D2" s="21" t="n">
        <f aca="false">SUMIFS(WeeklyInput!G$4:G$5000,WeeklyInput!A$4:A$5000,A2,WeeklyInput!C$4:C$5000,"B")</f>
        <v>15686</v>
      </c>
      <c r="E2" s="21" t="n">
        <f aca="false">SUMIFS(WeeklyInput!G$4:G$5000,WeeklyInput!A$4:A$5000,A2,WeeklyInput!C$4:C$5000,"C")</f>
        <v>15892.08</v>
      </c>
      <c r="F2" s="21" t="n">
        <f aca="false">SUM(C2:E2)</f>
        <v>49713.72</v>
      </c>
      <c r="G2" s="20" t="n">
        <f aca="false">SUMIFS(WeeklyInput!H$4:H$5000,WeeklyInput!A$4:A$5000,A2)</f>
        <v>139.1</v>
      </c>
      <c r="H2" s="38" t="s">
        <v>76</v>
      </c>
      <c r="I2" s="39" t="s">
        <v>76</v>
      </c>
    </row>
    <row r="3" customFormat="false" ht="15" hidden="false" customHeight="false" outlineLevel="0" collapsed="false">
      <c r="A3" s="37" t="s">
        <v>49</v>
      </c>
      <c r="B3" s="37" t="s">
        <v>50</v>
      </c>
      <c r="C3" s="21" t="n">
        <f aca="false">SUMIFS(WeeklyInput!G$4:G$5000,WeeklyInput!A$4:A$5000,A3,WeeklyInput!C$4:C$5000,"A")</f>
        <v>11983.85</v>
      </c>
      <c r="D3" s="21" t="n">
        <f aca="false">SUMIFS(WeeklyInput!G$4:G$5000,WeeklyInput!A$4:A$5000,A3,WeeklyInput!C$4:C$5000,"B")</f>
        <v>15433.03</v>
      </c>
      <c r="E3" s="21" t="n">
        <f aca="false">SUMIFS(WeeklyInput!G$4:G$5000,WeeklyInput!A$4:A$5000,A3,WeeklyInput!C$4:C$5000,"C")</f>
        <v>15450.53</v>
      </c>
      <c r="F3" s="21" t="n">
        <f aca="false">SUM(C3:E3)</f>
        <v>42867.41</v>
      </c>
      <c r="G3" s="20" t="n">
        <f aca="false">SUMIFS(WeeklyInput!H$4:H$5000,WeeklyInput!A$4:A$5000,A3)</f>
        <v>7</v>
      </c>
      <c r="H3" s="21" t="n">
        <f aca="false">F3-F2</f>
        <v>-6846.31</v>
      </c>
      <c r="I3" s="40" t="n">
        <f aca="false">IF(F2&gt;0,(F3-F2)/F2,0)</f>
        <v>-0.13771469928221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I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5" min="3" style="0" width="16"/>
    <col collapsed="false" customWidth="true" hidden="false" outlineLevel="0" max="6" min="6" style="0" width="20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2"/>
  </cols>
  <sheetData>
    <row r="1" customFormat="false" ht="26.85" hidden="false" customHeight="false" outlineLevel="0" collapsed="false">
      <c r="A1" s="3" t="s">
        <v>77</v>
      </c>
      <c r="B1" s="3" t="s">
        <v>78</v>
      </c>
      <c r="C1" s="3" t="s">
        <v>69</v>
      </c>
      <c r="D1" s="3" t="s">
        <v>70</v>
      </c>
      <c r="E1" s="3" t="s">
        <v>71</v>
      </c>
      <c r="F1" s="3" t="s">
        <v>79</v>
      </c>
      <c r="G1" s="3" t="s">
        <v>73</v>
      </c>
      <c r="H1" s="3" t="s">
        <v>80</v>
      </c>
      <c r="I1" s="3" t="s">
        <v>81</v>
      </c>
    </row>
    <row r="2" customFormat="false" ht="15" hidden="false" customHeight="false" outlineLevel="0" collapsed="false">
      <c r="A2" s="37" t="s">
        <v>82</v>
      </c>
      <c r="B2" s="37" t="n">
        <v>2026</v>
      </c>
      <c r="C2" s="21" t="n">
        <f aca="false">SUMPRODUCT((MONTH(WeeklyInput!A$4:A$5000)=3)*(YEAR(WeeklyInput!A$4:A$5000)=2026)*(WeeklyInput!C$4:C$5000="A")*WeeklyInput!G$4:G$5000)</f>
        <v>18135.64</v>
      </c>
      <c r="D2" s="21" t="n">
        <f aca="false">SUMPRODUCT((MONTH(WeeklyInput!A$4:A$5000)=3)*(YEAR(WeeklyInput!A$4:A$5000)=2026)*(WeeklyInput!C$4:C$5000="B")*WeeklyInput!G$4:G$5000)</f>
        <v>15686</v>
      </c>
      <c r="E2" s="21" t="n">
        <f aca="false">SUMPRODUCT((MONTH(WeeklyInput!A$4:A$5000)=3)*(YEAR(WeeklyInput!A$4:A$5000)=2026)*(WeeklyInput!C$4:C$5000="C")*WeeklyInput!G$4:G$5000)</f>
        <v>15892.08</v>
      </c>
      <c r="F2" s="21" t="n">
        <f aca="false">SUM(C2:E2)</f>
        <v>49713.72</v>
      </c>
      <c r="G2" s="20" t="n">
        <f aca="false">SUMPRODUCT((MONTH(WeeklyInput!A$4:A$5000)=3)*(YEAR(WeeklyInput!A$4:A$5000)=2026)*WeeklyInput!H$4:H$5000)</f>
        <v>139.1</v>
      </c>
      <c r="H2" s="21" t="s">
        <v>76</v>
      </c>
      <c r="I2" s="37" t="s">
        <v>76</v>
      </c>
    </row>
    <row r="3" customFormat="false" ht="15" hidden="false" customHeight="false" outlineLevel="0" collapsed="false">
      <c r="A3" s="37" t="s">
        <v>83</v>
      </c>
      <c r="B3" s="37" t="n">
        <v>2026</v>
      </c>
      <c r="C3" s="21" t="n">
        <f aca="false">SUMPRODUCT((MONTH(WeeklyInput!A$4:A$5000)=4)*(YEAR(WeeklyInput!A$4:A$5000)=2026)*(WeeklyInput!C$4:C$5000="A")*WeeklyInput!G$4:G$5000)</f>
        <v>11983.85</v>
      </c>
      <c r="D3" s="21" t="n">
        <f aca="false">SUMPRODUCT((MONTH(WeeklyInput!A$4:A$5000)=4)*(YEAR(WeeklyInput!A$4:A$5000)=2026)*(WeeklyInput!C$4:C$5000="B")*WeeklyInput!G$4:G$5000)</f>
        <v>15433.03</v>
      </c>
      <c r="E3" s="21" t="n">
        <f aca="false">SUMPRODUCT((MONTH(WeeklyInput!A$4:A$5000)=4)*(YEAR(WeeklyInput!A$4:A$5000)=2026)*(WeeklyInput!C$4:C$5000="C")*WeeklyInput!G$4:G$5000)</f>
        <v>15450.53</v>
      </c>
      <c r="F3" s="21" t="n">
        <f aca="false">SUM(C3:E3)</f>
        <v>42867.41</v>
      </c>
      <c r="G3" s="20" t="n">
        <f aca="false">SUMPRODUCT((MONTH(WeeklyInput!A$4:A$5000)=4)*(YEAR(WeeklyInput!A$4:A$5000)=2026)*WeeklyInput!H$4:H$5000)</f>
        <v>7</v>
      </c>
      <c r="H3" s="21" t="n">
        <f aca="false">F3-F2</f>
        <v>-6846.31</v>
      </c>
      <c r="I3" s="40" t="n">
        <f aca="false">IF(F2&gt;0,(F3-F2)/F2,0)</f>
        <v>-0.13771469928221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F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6" min="5" style="0" width="18"/>
  </cols>
  <sheetData>
    <row r="1" customFormat="false" ht="17.35" hidden="false" customHeight="false" outlineLevel="0" collapsed="false">
      <c r="A1" s="1" t="s">
        <v>84</v>
      </c>
    </row>
    <row r="2" customFormat="false" ht="15" hidden="false" customHeight="false" outlineLevel="0" collapsed="false">
      <c r="A2" s="2" t="s">
        <v>85</v>
      </c>
    </row>
    <row r="4" customFormat="false" ht="15" hidden="false" customHeight="false" outlineLevel="0" collapsed="false">
      <c r="A4" s="41" t="s">
        <v>86</v>
      </c>
    </row>
    <row r="5" customFormat="false" ht="15" hidden="false" customHeight="false" outlineLevel="0" collapsed="false">
      <c r="A5" s="42" t="s">
        <v>87</v>
      </c>
      <c r="B5" s="43" t="n">
        <f aca="false">SUM(WeeklyInput!G$4:G$5000)</f>
        <v>92581.13</v>
      </c>
    </row>
    <row r="6" customFormat="false" ht="15" hidden="false" customHeight="false" outlineLevel="0" collapsed="false">
      <c r="A6" s="42" t="s">
        <v>88</v>
      </c>
      <c r="B6" s="43" t="n">
        <f aca="false">SUM(WeeklyInput!H$4:H$5000)</f>
        <v>146.1</v>
      </c>
    </row>
    <row r="7" customFormat="false" ht="15" hidden="false" customHeight="false" outlineLevel="0" collapsed="false">
      <c r="A7" s="42" t="s">
        <v>89</v>
      </c>
      <c r="B7" s="43" t="n">
        <f aca="false">IFERROR(SUMPRODUCT(1/COUNTIFS(WeeklyInput!A$4:A$5000,WeeklyInput!A$4:A$5000,WeeklyInput!G$4:G$5000,"&gt;"&amp;0)),0)</f>
        <v>0</v>
      </c>
    </row>
    <row r="8" customFormat="false" ht="15" hidden="false" customHeight="false" outlineLevel="0" collapsed="false">
      <c r="A8" s="42" t="s">
        <v>90</v>
      </c>
      <c r="B8" s="43" t="n">
        <f aca="false">IF(B7&gt;0,B5/B7,0)</f>
        <v>0</v>
      </c>
    </row>
    <row r="9" customFormat="false" ht="15" hidden="false" customHeight="false" outlineLevel="0" collapsed="false">
      <c r="A9" s="42" t="s">
        <v>91</v>
      </c>
      <c r="B9" s="43" t="n">
        <f aca="false">MAX(WeeklyInput!G$4:G$5000)</f>
        <v>6662.63</v>
      </c>
    </row>
    <row r="10" customFormat="false" ht="15" hidden="false" customHeight="false" outlineLevel="0" collapsed="false">
      <c r="A10" s="42" t="s">
        <v>92</v>
      </c>
      <c r="B10" s="44" t="n">
        <f aca="false">COUNTIF(StaffRegistry!F:F,"Active")</f>
        <v>15</v>
      </c>
    </row>
    <row r="13" customFormat="false" ht="15" hidden="false" customHeight="false" outlineLevel="0" collapsed="false">
      <c r="A13" s="41" t="s">
        <v>93</v>
      </c>
    </row>
    <row r="14" customFormat="false" ht="15" hidden="false" customHeight="false" outlineLevel="0" collapsed="false">
      <c r="A14" s="16" t="s">
        <v>94</v>
      </c>
      <c r="B14" s="16" t="s">
        <v>5</v>
      </c>
      <c r="C14" s="16" t="s">
        <v>6</v>
      </c>
      <c r="D14" s="16" t="s">
        <v>4</v>
      </c>
      <c r="E14" s="16" t="s">
        <v>95</v>
      </c>
      <c r="F14" s="16" t="s">
        <v>96</v>
      </c>
    </row>
    <row r="15" customFormat="false" ht="15" hidden="false" customHeight="false" outlineLevel="0" collapsed="false">
      <c r="A15" s="18" t="n">
        <v>1</v>
      </c>
      <c r="B15" s="37" t="str">
        <f aca="false">INDEX(IndividualSummary!A$2:A$16,MATCH(LARGE(IndividualSummary!F$2:F$16,A15),IndividualSummary!F$2:F$16,0))</f>
        <v>B02</v>
      </c>
      <c r="C15" s="37" t="str">
        <f aca="false">VLOOKUP(B15,StaffRegistry!A:B,2,FALSE())</f>
        <v>Emmanuel Chinseu</v>
      </c>
      <c r="D15" s="37" t="str">
        <f aca="false">VLOOKUP(B15,StaffRegistry!A:C,3,FALSE())</f>
        <v>B</v>
      </c>
      <c r="E15" s="21" t="n">
        <f aca="false">VLOOKUP(B15,IndividualSummary!A:F,6,FALSE())</f>
        <v>8950.36</v>
      </c>
      <c r="F15" s="21" t="n">
        <f aca="false">VLOOKUP(B15,IndividualSummary!A:H,8,FALSE())</f>
        <v>4475.18</v>
      </c>
    </row>
    <row r="16" customFormat="false" ht="15" hidden="false" customHeight="false" outlineLevel="0" collapsed="false">
      <c r="A16" s="18" t="n">
        <v>2</v>
      </c>
      <c r="B16" s="37" t="str">
        <f aca="false">INDEX(IndividualSummary!A$2:A$16,MATCH(LARGE(IndividualSummary!F$2:F$16,A16),IndividualSummary!F$2:F$16,0))</f>
        <v>C02</v>
      </c>
      <c r="C16" s="37" t="str">
        <f aca="false">VLOOKUP(B16,StaffRegistry!A:B,2,FALSE())</f>
        <v>Shadreck Bamusi</v>
      </c>
      <c r="D16" s="37" t="str">
        <f aca="false">VLOOKUP(B16,StaffRegistry!A:C,3,FALSE())</f>
        <v>C</v>
      </c>
      <c r="E16" s="21" t="n">
        <f aca="false">VLOOKUP(B16,IndividualSummary!A:F,6,FALSE())</f>
        <v>8500.04</v>
      </c>
      <c r="F16" s="21" t="n">
        <f aca="false">VLOOKUP(B16,IndividualSummary!A:H,8,FALSE())</f>
        <v>4250.02</v>
      </c>
    </row>
    <row r="17" customFormat="false" ht="15" hidden="false" customHeight="false" outlineLevel="0" collapsed="false">
      <c r="A17" s="18" t="n">
        <v>3</v>
      </c>
      <c r="B17" s="37" t="str">
        <f aca="false">INDEX(IndividualSummary!A$2:A$16,MATCH(LARGE(IndividualSummary!F$2:F$16,A17),IndividualSummary!F$2:F$16,0))</f>
        <v>C04</v>
      </c>
      <c r="C17" s="37" t="str">
        <f aca="false">VLOOKUP(B17,StaffRegistry!A:B,2,FALSE())</f>
        <v>Austin Chakanda</v>
      </c>
      <c r="D17" s="37" t="str">
        <f aca="false">VLOOKUP(B17,StaffRegistry!A:C,3,FALSE())</f>
        <v>C</v>
      </c>
      <c r="E17" s="21" t="n">
        <f aca="false">VLOOKUP(B17,IndividualSummary!A:F,6,FALSE())</f>
        <v>8423.57</v>
      </c>
      <c r="F17" s="21" t="n">
        <f aca="false">VLOOKUP(B17,IndividualSummary!A:H,8,FALSE())</f>
        <v>4211.785</v>
      </c>
    </row>
    <row r="18" customFormat="false" ht="15" hidden="false" customHeight="false" outlineLevel="0" collapsed="false">
      <c r="A18" s="18" t="n">
        <v>4</v>
      </c>
      <c r="B18" s="37" t="str">
        <f aca="false">INDEX(IndividualSummary!A$2:A$16,MATCH(LARGE(IndividualSummary!F$2:F$16,A18),IndividualSummary!F$2:F$16,0))</f>
        <v>A01</v>
      </c>
      <c r="C18" s="37" t="str">
        <f aca="false">VLOOKUP(B18,StaffRegistry!A:B,2,FALSE())</f>
        <v>Chikondi Chirwa</v>
      </c>
      <c r="D18" s="37" t="str">
        <f aca="false">VLOOKUP(B18,StaffRegistry!A:C,3,FALSE())</f>
        <v>A</v>
      </c>
      <c r="E18" s="21" t="n">
        <f aca="false">VLOOKUP(B18,IndividualSummary!A:F,6,FALSE())</f>
        <v>8181.52</v>
      </c>
      <c r="F18" s="21" t="n">
        <f aca="false">VLOOKUP(B18,IndividualSummary!A:H,8,FALSE())</f>
        <v>4090.76</v>
      </c>
    </row>
    <row r="19" customFormat="false" ht="15" hidden="false" customHeight="false" outlineLevel="0" collapsed="false">
      <c r="A19" s="18" t="n">
        <v>5</v>
      </c>
      <c r="B19" s="37" t="str">
        <f aca="false">INDEX(IndividualSummary!A$2:A$16,MATCH(LARGE(IndividualSummary!F$2:F$16,A19),IndividualSummary!F$2:F$16,0))</f>
        <v>C03</v>
      </c>
      <c r="C19" s="37" t="str">
        <f aca="false">VLOOKUP(B19,StaffRegistry!A:B,2,FALSE())</f>
        <v>Mike Siyasiya</v>
      </c>
      <c r="D19" s="37" t="str">
        <f aca="false">VLOOKUP(B19,StaffRegistry!A:C,3,FALSE())</f>
        <v>C</v>
      </c>
      <c r="E19" s="21" t="n">
        <f aca="false">VLOOKUP(B19,IndividualSummary!A:F,6,FALSE())</f>
        <v>7916.05</v>
      </c>
      <c r="F19" s="21" t="n">
        <f aca="false">VLOOKUP(B19,IndividualSummary!A:H,8,FALSE())</f>
        <v>3958.025</v>
      </c>
    </row>
    <row r="20" customFormat="false" ht="15" hidden="false" customHeight="false" outlineLevel="0" collapsed="false">
      <c r="A20" s="18" t="n">
        <v>6</v>
      </c>
      <c r="B20" s="37" t="str">
        <f aca="false">INDEX(IndividualSummary!A$2:A$16,MATCH(LARGE(IndividualSummary!F$2:F$16,A20),IndividualSummary!F$2:F$16,0))</f>
        <v>B03</v>
      </c>
      <c r="C20" s="37" t="str">
        <f aca="false">VLOOKUP(B20,StaffRegistry!A:B,2,FALSE())</f>
        <v>Emmanuel Makoko</v>
      </c>
      <c r="D20" s="37" t="str">
        <f aca="false">VLOOKUP(B20,StaffRegistry!A:C,3,FALSE())</f>
        <v>B</v>
      </c>
      <c r="E20" s="21" t="n">
        <f aca="false">VLOOKUP(B20,IndividualSummary!A:F,6,FALSE())</f>
        <v>7756.67</v>
      </c>
      <c r="F20" s="21" t="n">
        <f aca="false">VLOOKUP(B20,IndividualSummary!A:H,8,FALSE())</f>
        <v>3878.335</v>
      </c>
    </row>
    <row r="21" customFormat="false" ht="15" hidden="false" customHeight="false" outlineLevel="0" collapsed="false">
      <c r="A21" s="18" t="n">
        <v>7</v>
      </c>
      <c r="B21" s="37" t="str">
        <f aca="false">INDEX(IndividualSummary!A$2:A$16,MATCH(LARGE(IndividualSummary!F$2:F$16,A21),IndividualSummary!F$2:F$16,0))</f>
        <v>A05</v>
      </c>
      <c r="C21" s="37" t="str">
        <f aca="false">VLOOKUP(B21,StaffRegistry!A:B,2,FALSE())</f>
        <v>Cyrus Nyirenda</v>
      </c>
      <c r="D21" s="37" t="str">
        <f aca="false">VLOOKUP(B21,StaffRegistry!A:C,3,FALSE())</f>
        <v>A</v>
      </c>
      <c r="E21" s="21" t="n">
        <f aca="false">VLOOKUP(B21,IndividualSummary!A:F,6,FALSE())</f>
        <v>6887.36</v>
      </c>
      <c r="F21" s="21" t="n">
        <f aca="false">VLOOKUP(B21,IndividualSummary!A:H,8,FALSE())</f>
        <v>3443.68</v>
      </c>
    </row>
    <row r="22" customFormat="false" ht="15" hidden="false" customHeight="false" outlineLevel="0" collapsed="false">
      <c r="A22" s="18" t="n">
        <v>8</v>
      </c>
      <c r="B22" s="37" t="str">
        <f aca="false">INDEX(IndividualSummary!A$2:A$16,MATCH(LARGE(IndividualSummary!F$2:F$16,A22),IndividualSummary!F$2:F$16,0))</f>
        <v>A04</v>
      </c>
      <c r="C22" s="37" t="str">
        <f aca="false">VLOOKUP(B22,StaffRegistry!A:B,2,FALSE())</f>
        <v>Tiyamike Mwale</v>
      </c>
      <c r="D22" s="37" t="str">
        <f aca="false">VLOOKUP(B22,StaffRegistry!A:C,3,FALSE())</f>
        <v>A</v>
      </c>
      <c r="E22" s="21" t="n">
        <f aca="false">VLOOKUP(B22,IndividualSummary!A:F,6,FALSE())</f>
        <v>6827.67</v>
      </c>
      <c r="F22" s="21" t="n">
        <f aca="false">VLOOKUP(B22,IndividualSummary!A:H,8,FALSE())</f>
        <v>3413.835</v>
      </c>
    </row>
    <row r="23" customFormat="false" ht="15" hidden="false" customHeight="false" outlineLevel="0" collapsed="false">
      <c r="A23" s="18" t="n">
        <v>9</v>
      </c>
      <c r="B23" s="37" t="str">
        <f aca="false">INDEX(IndividualSummary!A$2:A$16,MATCH(LARGE(IndividualSummary!F$2:F$16,A23),IndividualSummary!F$2:F$16,0))</f>
        <v>C01</v>
      </c>
      <c r="C23" s="37" t="str">
        <f aca="false">VLOOKUP(B23,StaffRegistry!A:B,2,FALSE())</f>
        <v>Pilirani Kulinj</v>
      </c>
      <c r="D23" s="37" t="str">
        <f aca="false">VLOOKUP(B23,StaffRegistry!A:C,3,FALSE())</f>
        <v>C</v>
      </c>
      <c r="E23" s="21" t="n">
        <f aca="false">VLOOKUP(B23,IndividualSummary!A:F,6,FALSE())</f>
        <v>6502.95</v>
      </c>
      <c r="F23" s="21" t="n">
        <f aca="false">VLOOKUP(B23,IndividualSummary!A:H,8,FALSE())</f>
        <v>3251.475</v>
      </c>
    </row>
    <row r="24" customFormat="false" ht="15" hidden="false" customHeight="false" outlineLevel="0" collapsed="false">
      <c r="A24" s="18" t="n">
        <v>10</v>
      </c>
      <c r="B24" s="37" t="str">
        <f aca="false">INDEX(IndividualSummary!A$2:A$16,MATCH(LARGE(IndividualSummary!F$2:F$16,A24),IndividualSummary!F$2:F$16,0))</f>
        <v>A03</v>
      </c>
      <c r="C24" s="37" t="str">
        <f aca="false">VLOOKUP(B24,StaffRegistry!A:B,2,FALSE())</f>
        <v>Jackson Issah</v>
      </c>
      <c r="D24" s="37" t="str">
        <f aca="false">VLOOKUP(B24,StaffRegistry!A:C,3,FALSE())</f>
        <v>A</v>
      </c>
      <c r="E24" s="21" t="n">
        <f aca="false">VLOOKUP(B24,IndividualSummary!A:F,6,FALSE())</f>
        <v>5569.74</v>
      </c>
      <c r="F24" s="21" t="n">
        <f aca="false">VLOOKUP(B24,IndividualSummary!A:H,8,FALSE())</f>
        <v>2784.87</v>
      </c>
    </row>
    <row r="25" customFormat="false" ht="15" hidden="false" customHeight="false" outlineLevel="0" collapsed="false">
      <c r="A25" s="18" t="n">
        <v>11</v>
      </c>
      <c r="B25" s="37" t="str">
        <f aca="false">INDEX(IndividualSummary!A$2:A$16,MATCH(LARGE(IndividualSummary!F$2:F$16,A25),IndividualSummary!F$2:F$16,0))</f>
        <v>B05</v>
      </c>
      <c r="C25" s="37" t="str">
        <f aca="false">VLOOKUP(B25,StaffRegistry!A:B,2,FALSE())</f>
        <v>Madalo Mchenga</v>
      </c>
      <c r="D25" s="37" t="str">
        <f aca="false">VLOOKUP(B25,StaffRegistry!A:C,3,FALSE())</f>
        <v>B</v>
      </c>
      <c r="E25" s="21" t="n">
        <f aca="false">VLOOKUP(B25,IndividualSummary!A:F,6,FALSE())</f>
        <v>5300.58</v>
      </c>
      <c r="F25" s="21" t="n">
        <f aca="false">VLOOKUP(B25,IndividualSummary!A:H,8,FALSE())</f>
        <v>2650.29</v>
      </c>
    </row>
    <row r="26" customFormat="false" ht="15" hidden="false" customHeight="false" outlineLevel="0" collapsed="false">
      <c r="A26" s="18" t="n">
        <v>12</v>
      </c>
      <c r="B26" s="37" t="str">
        <f aca="false">INDEX(IndividualSummary!A$2:A$16,MATCH(LARGE(IndividualSummary!F$2:F$16,A26),IndividualSummary!F$2:F$16,0))</f>
        <v>B04</v>
      </c>
      <c r="C26" s="37" t="str">
        <f aca="false">VLOOKUP(B26,StaffRegistry!A:B,2,FALSE())</f>
        <v>Flora Phiri</v>
      </c>
      <c r="D26" s="37" t="str">
        <f aca="false">VLOOKUP(B26,StaffRegistry!A:C,3,FALSE())</f>
        <v>B</v>
      </c>
      <c r="E26" s="21" t="n">
        <f aca="false">VLOOKUP(B26,IndividualSummary!A:F,6,FALSE())</f>
        <v>5049.84</v>
      </c>
      <c r="F26" s="21" t="n">
        <f aca="false">VLOOKUP(B26,IndividualSummary!A:H,8,FALSE())</f>
        <v>2524.92</v>
      </c>
    </row>
    <row r="27" customFormat="false" ht="15" hidden="false" customHeight="false" outlineLevel="0" collapsed="false">
      <c r="A27" s="18" t="n">
        <v>13</v>
      </c>
      <c r="B27" s="37" t="str">
        <f aca="false">INDEX(IndividualSummary!A$2:A$16,MATCH(LARGE(IndividualSummary!F$2:F$16,A27),IndividualSummary!F$2:F$16,0))</f>
        <v>B01</v>
      </c>
      <c r="C27" s="37" t="str">
        <f aca="false">VLOOKUP(B27,StaffRegistry!A:B,2,FALSE())</f>
        <v>Moffat Nkhoma</v>
      </c>
      <c r="D27" s="37" t="str">
        <f aca="false">VLOOKUP(B27,StaffRegistry!A:C,3,FALSE())</f>
        <v>B</v>
      </c>
      <c r="E27" s="21" t="n">
        <f aca="false">VLOOKUP(B27,IndividualSummary!A:F,6,FALSE())</f>
        <v>4061.58</v>
      </c>
      <c r="F27" s="21" t="n">
        <f aca="false">VLOOKUP(B27,IndividualSummary!A:H,8,FALSE())</f>
        <v>2030.79</v>
      </c>
    </row>
    <row r="28" customFormat="false" ht="15" hidden="false" customHeight="false" outlineLevel="0" collapsed="false">
      <c r="A28" s="18" t="n">
        <v>14</v>
      </c>
      <c r="B28" s="37" t="str">
        <f aca="false">INDEX(IndividualSummary!A$2:A$16,MATCH(LARGE(IndividualSummary!F$2:F$16,A28),IndividualSummary!F$2:F$16,0))</f>
        <v>A02</v>
      </c>
      <c r="C28" s="37" t="str">
        <f aca="false">VLOOKUP(B28,StaffRegistry!A:B,2,FALSE())</f>
        <v>Philip Kaukonde</v>
      </c>
      <c r="D28" s="37" t="str">
        <f aca="false">VLOOKUP(B28,StaffRegistry!A:C,3,FALSE())</f>
        <v>A</v>
      </c>
      <c r="E28" s="21" t="n">
        <f aca="false">VLOOKUP(B28,IndividualSummary!A:F,6,FALSE())</f>
        <v>2653.2</v>
      </c>
      <c r="F28" s="21" t="n">
        <f aca="false">VLOOKUP(B28,IndividualSummary!A:H,8,FALSE())</f>
        <v>1326.6</v>
      </c>
    </row>
    <row r="29" customFormat="false" ht="15" hidden="false" customHeight="false" outlineLevel="0" collapsed="false">
      <c r="A29" s="18" t="n">
        <v>15</v>
      </c>
      <c r="B29" s="37" t="str">
        <f aca="false">INDEX(IndividualSummary!A$2:A$16,MATCH(LARGE(IndividualSummary!F$2:F$16,A29),IndividualSummary!F$2:F$16,0))</f>
        <v>C05</v>
      </c>
      <c r="C29" s="37" t="str">
        <f aca="false">VLOOKUP(B29,StaffRegistry!A:B,2,FALSE())</f>
        <v>Watson Gondwe</v>
      </c>
      <c r="D29" s="37" t="str">
        <f aca="false">VLOOKUP(B29,StaffRegistry!A:C,3,FALSE())</f>
        <v>C</v>
      </c>
      <c r="E29" s="21" t="n">
        <f aca="false">VLOOKUP(B29,IndividualSummary!A:F,6,FALSE())</f>
        <v>0</v>
      </c>
      <c r="F29" s="21" t="n">
        <f aca="false">VLOOKUP(B29,IndividualSummary!A:H,8,FALSE())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B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0"/>
  </cols>
  <sheetData>
    <row r="1" customFormat="false" ht="17.35" hidden="false" customHeight="false" outlineLevel="0" collapsed="false">
      <c r="A1" s="1" t="s">
        <v>97</v>
      </c>
    </row>
    <row r="2" customFormat="false" ht="15" hidden="false" customHeight="false" outlineLevel="0" collapsed="false">
      <c r="A2" s="45"/>
      <c r="B2" s="46"/>
    </row>
    <row r="3" customFormat="false" ht="15" hidden="false" customHeight="false" outlineLevel="0" collapsed="false">
      <c r="A3" s="41" t="s">
        <v>98</v>
      </c>
    </row>
    <row r="4" customFormat="false" ht="15" hidden="false" customHeight="false" outlineLevel="0" collapsed="false">
      <c r="A4" s="45" t="s">
        <v>99</v>
      </c>
      <c r="B4" s="46" t="s">
        <v>100</v>
      </c>
    </row>
    <row r="5" customFormat="false" ht="15" hidden="false" customHeight="false" outlineLevel="0" collapsed="false">
      <c r="A5" s="45" t="s">
        <v>101</v>
      </c>
      <c r="B5" s="46" t="s">
        <v>102</v>
      </c>
    </row>
    <row r="6" customFormat="false" ht="15" hidden="false" customHeight="false" outlineLevel="0" collapsed="false">
      <c r="A6" s="45" t="s">
        <v>103</v>
      </c>
      <c r="B6" s="46" t="s">
        <v>104</v>
      </c>
    </row>
    <row r="7" customFormat="false" ht="15" hidden="false" customHeight="false" outlineLevel="0" collapsed="false">
      <c r="A7" s="45" t="s">
        <v>105</v>
      </c>
      <c r="B7" s="46" t="s">
        <v>106</v>
      </c>
    </row>
    <row r="8" customFormat="false" ht="15" hidden="false" customHeight="false" outlineLevel="0" collapsed="false">
      <c r="A8" s="45" t="s">
        <v>107</v>
      </c>
      <c r="B8" s="46" t="s">
        <v>108</v>
      </c>
    </row>
    <row r="9" customFormat="false" ht="15" hidden="false" customHeight="false" outlineLevel="0" collapsed="false">
      <c r="A9" s="45" t="s">
        <v>109</v>
      </c>
      <c r="B9" s="46" t="s">
        <v>110</v>
      </c>
    </row>
    <row r="10" customFormat="false" ht="15" hidden="false" customHeight="false" outlineLevel="0" collapsed="false">
      <c r="A10" s="45" t="s">
        <v>111</v>
      </c>
      <c r="B10" s="46" t="s">
        <v>112</v>
      </c>
    </row>
    <row r="11" customFormat="false" ht="15" hidden="false" customHeight="false" outlineLevel="0" collapsed="false">
      <c r="A11" s="45"/>
      <c r="B11" s="46"/>
    </row>
    <row r="12" customFormat="false" ht="15" hidden="false" customHeight="false" outlineLevel="0" collapsed="false">
      <c r="A12" s="41" t="s">
        <v>113</v>
      </c>
    </row>
    <row r="13" customFormat="false" ht="15" hidden="false" customHeight="false" outlineLevel="0" collapsed="false">
      <c r="A13" s="45" t="s">
        <v>99</v>
      </c>
      <c r="B13" s="46" t="s">
        <v>114</v>
      </c>
    </row>
    <row r="14" customFormat="false" ht="15" hidden="false" customHeight="false" outlineLevel="0" collapsed="false">
      <c r="A14" s="45" t="s">
        <v>101</v>
      </c>
      <c r="B14" s="46" t="s">
        <v>115</v>
      </c>
    </row>
    <row r="15" customFormat="false" ht="15" hidden="false" customHeight="false" outlineLevel="0" collapsed="false">
      <c r="A15" s="45"/>
      <c r="B15" s="46"/>
    </row>
    <row r="16" customFormat="false" ht="15" hidden="false" customHeight="false" outlineLevel="0" collapsed="false">
      <c r="A16" s="41" t="s">
        <v>116</v>
      </c>
    </row>
    <row r="17" customFormat="false" ht="15" hidden="false" customHeight="false" outlineLevel="0" collapsed="false">
      <c r="A17" s="45" t="s">
        <v>76</v>
      </c>
      <c r="B17" s="46" t="s">
        <v>117</v>
      </c>
    </row>
    <row r="18" customFormat="false" ht="15" hidden="false" customHeight="false" outlineLevel="0" collapsed="false">
      <c r="A18" s="45" t="s">
        <v>76</v>
      </c>
      <c r="B18" s="46" t="s">
        <v>118</v>
      </c>
    </row>
    <row r="19" customFormat="false" ht="15" hidden="false" customHeight="false" outlineLevel="0" collapsed="false">
      <c r="A19" s="45" t="s">
        <v>76</v>
      </c>
      <c r="B19" s="46" t="s">
        <v>119</v>
      </c>
    </row>
    <row r="20" customFormat="false" ht="15" hidden="false" customHeight="false" outlineLevel="0" collapsed="false">
      <c r="A20" s="45" t="s">
        <v>76</v>
      </c>
      <c r="B20" s="46" t="s">
        <v>120</v>
      </c>
    </row>
    <row r="21" customFormat="false" ht="15" hidden="false" customHeight="false" outlineLevel="0" collapsed="false">
      <c r="A21" s="45"/>
      <c r="B21" s="46"/>
    </row>
    <row r="22" customFormat="false" ht="15" hidden="false" customHeight="false" outlineLevel="0" collapsed="false">
      <c r="A22" s="41" t="s">
        <v>121</v>
      </c>
    </row>
    <row r="23" customFormat="false" ht="15" hidden="false" customHeight="false" outlineLevel="0" collapsed="false">
      <c r="A23" s="45" t="s">
        <v>76</v>
      </c>
      <c r="B23" s="46" t="s">
        <v>122</v>
      </c>
    </row>
    <row r="24" customFormat="false" ht="15" hidden="false" customHeight="false" outlineLevel="0" collapsed="false">
      <c r="A24" s="45" t="s">
        <v>76</v>
      </c>
      <c r="B24" s="46" t="s">
        <v>123</v>
      </c>
    </row>
    <row r="25" customFormat="false" ht="15" hidden="false" customHeight="false" outlineLevel="0" collapsed="false">
      <c r="A25" s="45" t="s">
        <v>76</v>
      </c>
      <c r="B25" s="46" t="s">
        <v>124</v>
      </c>
    </row>
    <row r="26" customFormat="false" ht="15" hidden="false" customHeight="false" outlineLevel="0" collapsed="false">
      <c r="A26" s="45" t="s">
        <v>76</v>
      </c>
      <c r="B26" s="46" t="s">
        <v>125</v>
      </c>
    </row>
    <row r="27" customFormat="false" ht="15" hidden="false" customHeight="false" outlineLevel="0" collapsed="false">
      <c r="A27" s="45" t="s">
        <v>76</v>
      </c>
      <c r="B27" s="46" t="s">
        <v>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2026-04-15T13:10:04Z</dcterms:created>
  <dc:creator>openpyxl</dc:creator>
  <dc:description/>
  <dc:language>en-US</dc:language>
  <cp:lastModifiedBy/>
  <dcterms:modified xsi:type="dcterms:W3CDTF">2026-04-15T13:10:04Z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